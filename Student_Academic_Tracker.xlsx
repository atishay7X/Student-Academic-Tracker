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rks Tracker" sheetId="2" state="visible" r:id="rId4"/>
    <sheet name="Attendance" sheetId="3" state="visible" r:id="rId5"/>
    <sheet name="Assignments" sheetId="4" state="visible" r:id="rId6"/>
    <sheet name="GPA Calculat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<sst xmlns="http://schemas.openxmlformats.org/spreadsheetml/2006/main" count="241" uniqueCount="150">
  <si>
    <t xml:space="preserve">🎓  STUDENT ACADEMIC TRACKER  |  Class 10 / 12  |  2024-25</t>
  </si>
  <si>
    <t xml:space="preserve">Enter your name &amp; class below  •  All data flows automatically from other sheets</t>
  </si>
  <si>
    <t xml:space="preserve">Student Name</t>
  </si>
  <si>
    <t xml:space="preserve">Class &amp; Section</t>
  </si>
  <si>
    <t xml:space="preserve">School</t>
  </si>
  <si>
    <t xml:space="preserve">Roll No.</t>
  </si>
  <si>
    <t xml:space="preserve">Your Name Here</t>
  </si>
  <si>
    <t xml:space="preserve">10-A</t>
  </si>
  <si>
    <t xml:space="preserve">Delhi Public School</t>
  </si>
  <si>
    <t xml:space="preserve">42</t>
  </si>
  <si>
    <t xml:space="preserve">Overall %</t>
  </si>
  <si>
    <t xml:space="preserve">Best Subject</t>
  </si>
  <si>
    <t xml:space="preserve">Attendance %</t>
  </si>
  <si>
    <t xml:space="preserve">Pending Tasks</t>
  </si>
  <si>
    <t xml:space="preserve">← click sheet for details</t>
  </si>
  <si>
    <t xml:space="preserve">  SUBJECT-WISE PERFORMANCE SUMMARY</t>
  </si>
  <si>
    <t xml:space="preserve">Subject</t>
  </si>
  <si>
    <t xml:space="preserve">UT1</t>
  </si>
  <si>
    <t xml:space="preserve">Mid-Term</t>
  </si>
  <si>
    <t xml:space="preserve">UT2</t>
  </si>
  <si>
    <t xml:space="preserve">Final</t>
  </si>
  <si>
    <t xml:space="preserve">Total %</t>
  </si>
  <si>
    <t xml:space="preserve">Grade</t>
  </si>
  <si>
    <t xml:space="preserve">Status</t>
  </si>
  <si>
    <t xml:space="preserve">English</t>
  </si>
  <si>
    <t xml:space="preserve">Hindi</t>
  </si>
  <si>
    <t xml:space="preserve">Mathematics</t>
  </si>
  <si>
    <t xml:space="preserve">Science</t>
  </si>
  <si>
    <t xml:space="preserve">Social Science</t>
  </si>
  <si>
    <t xml:space="preserve">Computer Science</t>
  </si>
  <si>
    <t xml:space="preserve">📝  MARKS TRACKER  –  All Subjects &amp; Examinations</t>
  </si>
  <si>
    <t xml:space="preserve">Max Marks: UT1=25  |  Mid-Term=50  |  UT2=25  |  Final=100  |  Total=100 (weighted)</t>
  </si>
  <si>
    <t xml:space="preserve">MAX MARKS →</t>
  </si>
  <si>
    <t xml:space="preserve">UT1 (/25)</t>
  </si>
  <si>
    <t xml:space="preserve">Mid-Term (/50)</t>
  </si>
  <si>
    <t xml:space="preserve">UT2 (/25)</t>
  </si>
  <si>
    <t xml:space="preserve">Final (/100)</t>
  </si>
  <si>
    <t xml:space="preserve">Weighted Total</t>
  </si>
  <si>
    <t xml:space="preserve">Percentage</t>
  </si>
  <si>
    <t xml:space="preserve">Rank</t>
  </si>
  <si>
    <t xml:space="preserve">Remarks</t>
  </si>
  <si>
    <t xml:space="preserve">CLASS AVERAGE</t>
  </si>
  <si>
    <t xml:space="preserve">  QUICK STATS</t>
  </si>
  <si>
    <t xml:space="preserve">Best Subject:</t>
  </si>
  <si>
    <t xml:space="preserve">Weakest Subject:</t>
  </si>
  <si>
    <t xml:space="preserve">Highest Score:</t>
  </si>
  <si>
    <t xml:space="preserve">Lowest Score:</t>
  </si>
  <si>
    <t xml:space="preserve">📅  ATTENDANCE TRACKER  –  Monthly Subject-wise</t>
  </si>
  <si>
    <t xml:space="preserve">Enter 'P' for Present, 'A' for Absent, 'H' for Holiday/Half-day  •  Min. 75% attendance required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</si>
  <si>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</si>
  <si>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</si>
  <si>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</si>
  <si>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</si>
  <si>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</si>
  <si>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</si>
  <si>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</si>
  <si>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</si>
  <si>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</si>
  <si>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</si>
  <si>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</si>
  <si>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</si>
  <si>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Days Present</t>
  </si>
  <si>
    <t xml:space="preserve">Working Days →</t>
  </si>
  <si>
    <t xml:space="preserve">OVERALL</t>
  </si>
  <si>
    <t xml:space="preserve">  ATTENDANCE STATUS</t>
  </si>
  <si>
    <t xml:space="preserve">🟢 ≥85% = Excellent  |  🟡 75-84% = Satisfactory  |  🔴 &lt;75% = Shortage (may be detained)</t>
  </si>
  <si>
    <t xml:space="preserve">📋  ASSIGNMENT &amp; DEADLINE TRACKER</t>
  </si>
  <si>
    <t xml:space="preserve">Update 'Status' column as you complete tasks  •  Pending count auto-updates on Dashboard</t>
  </si>
  <si>
    <t xml:space="preserve">#</t>
  </si>
  <si>
    <t xml:space="preserve">Assignment / Task</t>
  </si>
  <si>
    <t xml:space="preserve">Assigned Date</t>
  </si>
  <si>
    <t xml:space="preserve">Due Date</t>
  </si>
  <si>
    <t xml:space="preserve">Priority</t>
  </si>
  <si>
    <t xml:space="preserve">Notes</t>
  </si>
  <si>
    <t xml:space="preserve">English Essay on Climate Change</t>
  </si>
  <si>
    <t xml:space="preserve">01-Apr-24</t>
  </si>
  <si>
    <t xml:space="preserve">15-Apr-24</t>
  </si>
  <si>
    <t xml:space="preserve">Completed</t>
  </si>
  <si>
    <t xml:space="preserve">High</t>
  </si>
  <si>
    <t xml:space="preserve">Maths Chapter 3 Exercises</t>
  </si>
  <si>
    <t xml:space="preserve">05-Apr-24</t>
  </si>
  <si>
    <t xml:space="preserve">12-Apr-24</t>
  </si>
  <si>
    <t xml:space="preserve">Science Lab Report – Titration</t>
  </si>
  <si>
    <t xml:space="preserve">08-Apr-24</t>
  </si>
  <si>
    <t xml:space="preserve">20-Apr-24</t>
  </si>
  <si>
    <t xml:space="preserve">In Progress</t>
  </si>
  <si>
    <t xml:space="preserve">History Map Work – Chapter 2</t>
  </si>
  <si>
    <t xml:space="preserve">10-Apr-24</t>
  </si>
  <si>
    <t xml:space="preserve">18-Apr-24</t>
  </si>
  <si>
    <t xml:space="preserve">Pending</t>
  </si>
  <si>
    <t xml:space="preserve">Medium</t>
  </si>
  <si>
    <t xml:space="preserve">Computer Project – Python Basics</t>
  </si>
  <si>
    <t xml:space="preserve">30-Apr-24</t>
  </si>
  <si>
    <t xml:space="preserve">Hindi Kavita Lekhan</t>
  </si>
  <si>
    <t xml:space="preserve">22-Apr-24</t>
  </si>
  <si>
    <t xml:space="preserve">Maths Practice Paper 1</t>
  </si>
  <si>
    <t xml:space="preserve">25-Apr-24</t>
  </si>
  <si>
    <t xml:space="preserve">Science Diagram – Cell Structure</t>
  </si>
  <si>
    <t xml:space="preserve">28-Apr-24</t>
  </si>
  <si>
    <t xml:space="preserve">English Grammar Worksheet</t>
  </si>
  <si>
    <t xml:space="preserve">29-Apr-24</t>
  </si>
  <si>
    <t xml:space="preserve">Low</t>
  </si>
  <si>
    <t xml:space="preserve">Geography – River Systems Notes</t>
  </si>
  <si>
    <t xml:space="preserve">05-May-24</t>
  </si>
  <si>
    <t xml:space="preserve">  TASK SUMMARY</t>
  </si>
  <si>
    <t xml:space="preserve">Total Tasks</t>
  </si>
  <si>
    <t xml:space="preserve">Completion %</t>
  </si>
  <si>
    <t xml:space="preserve">🏆  CGPA CALCULATOR  –  CBSE Grading System</t>
  </si>
  <si>
    <t xml:space="preserve">Based on CBSE 10-Point Grading Scale  •  Grade Points auto-calculated from Marks</t>
  </si>
  <si>
    <t xml:space="preserve">  CBSE GRADE SCALE REFERENCE</t>
  </si>
  <si>
    <t xml:space="preserve">Marks Range</t>
  </si>
  <si>
    <t xml:space="preserve">Grade Points</t>
  </si>
  <si>
    <t xml:space="preserve">Performance</t>
  </si>
  <si>
    <t xml:space="preserve">91 – 100</t>
  </si>
  <si>
    <t xml:space="preserve">A1</t>
  </si>
  <si>
    <t xml:space="preserve">10</t>
  </si>
  <si>
    <t xml:space="preserve">Outstanding</t>
  </si>
  <si>
    <t xml:space="preserve">81 – 90</t>
  </si>
  <si>
    <t xml:space="preserve">A2</t>
  </si>
  <si>
    <t xml:space="preserve">9</t>
  </si>
  <si>
    <t xml:space="preserve">Excellent</t>
  </si>
  <si>
    <t xml:space="preserve">71 – 80</t>
  </si>
  <si>
    <t xml:space="preserve">B1</t>
  </si>
  <si>
    <t xml:space="preserve">8</t>
  </si>
  <si>
    <t xml:space="preserve">Very Good</t>
  </si>
  <si>
    <t xml:space="preserve">61 – 70</t>
  </si>
  <si>
    <t xml:space="preserve">B2</t>
  </si>
  <si>
    <t xml:space="preserve">7</t>
  </si>
  <si>
    <t xml:space="preserve">Good</t>
  </si>
  <si>
    <t xml:space="preserve">51 – 60</t>
  </si>
  <si>
    <t xml:space="preserve">C1</t>
  </si>
  <si>
    <t xml:space="preserve">6</t>
  </si>
  <si>
    <t xml:space="preserve">Average</t>
  </si>
  <si>
    <t xml:space="preserve">41 – 50</t>
  </si>
  <si>
    <t xml:space="preserve">C2</t>
  </si>
  <si>
    <t xml:space="preserve">5</t>
  </si>
  <si>
    <t xml:space="preserve">Satisfactory</t>
  </si>
  <si>
    <t xml:space="preserve">33 – 40</t>
  </si>
  <si>
    <t xml:space="preserve">D</t>
  </si>
  <si>
    <t xml:space="preserve">4</t>
  </si>
  <si>
    <t xml:space="preserve">Needs Improvement</t>
  </si>
  <si>
    <t xml:space="preserve">Below 33</t>
  </si>
  <si>
    <t xml:space="preserve">E</t>
  </si>
  <si>
    <t xml:space="preserve">0</t>
  </si>
  <si>
    <t xml:space="preserve">Fail</t>
  </si>
  <si>
    <t xml:space="preserve">  YOUR CGPA CALCULATION</t>
  </si>
  <si>
    <t xml:space="preserve">Marks Obtained</t>
  </si>
  <si>
    <t xml:space="preserve">Credits</t>
  </si>
  <si>
    <t xml:space="preserve">Credit × GP</t>
  </si>
  <si>
    <t xml:space="preserve">📊  YOUR CGPA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</si>
</sst>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@"/>
    <numFmt numFmtId="167" formatCode="0"/>
    <numFmt numFmtId="168" formatCode="0.0"/>
    <numFmt numFmtId="169" formatCode="0.00"/>
    <numFmt numFmtId="170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8"/>
      <color rgb="FFDDDDD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Calibri"/>
      <family val="0"/>
      <charset val="1"/>
    </font>
    <font>
      <sz val="9"/>
      <color rgb="FF0000FF"/>
      <name val="Calibri"/>
      <family val="0"/>
      <charset val="1"/>
    </font>
    <font>
      <sz val="9"/>
      <color rgb="FF999999"/>
      <name val="Calibri"/>
      <family val="0"/>
      <charset val="1"/>
    </font>
    <font>
      <sz val="9"/>
      <name val="Calibri"/>
      <family val="0"/>
      <charset val="1"/>
    </font>
    <font>
      <b val="true"/>
      <sz val="12"/>
      <color rgb="FF2952A3"/>
      <name val="Calibri"/>
      <family val="0"/>
      <charset val="1"/>
    </font>
    <font>
      <b val="true"/>
      <sz val="10"/>
      <color rgb="FF1E8449"/>
      <name val="Calibri"/>
      <family val="0"/>
      <charset val="1"/>
    </font>
    <font>
      <sz val="10"/>
      <color rgb="FFC0392B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6"/>
      <color rgb="FF1E8449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952A3"/>
        <bgColor rgb="FF0066CC"/>
      </patternFill>
    </fill>
    <fill>
      <patternFill patternType="solid">
        <fgColor rgb="FFFFF3CD"/>
        <bgColor rgb="FFFCE8D5"/>
      </patternFill>
    </fill>
    <fill>
      <patternFill patternType="solid">
        <fgColor rgb="FF1E5631"/>
        <bgColor rgb="FF555555"/>
      </patternFill>
    </fill>
    <fill>
      <patternFill patternType="solid">
        <fgColor rgb="FF7B241C"/>
        <bgColor rgb="FF800000"/>
      </patternFill>
    </fill>
    <fill>
      <patternFill patternType="solid">
        <fgColor rgb="FFC5D8F6"/>
        <bgColor rgb="FFD9D9D9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F0E0"/>
        <bgColor rgb="FFDDDDDD"/>
      </patternFill>
    </fill>
    <fill>
      <patternFill patternType="solid">
        <fgColor rgb="FFFCE8D5"/>
        <bgColor rgb="FFFFF3C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B2A4A"/>
      </left>
      <right/>
      <top style="medium">
        <color rgb="FF1B2A4A"/>
      </top>
      <bottom style="medium">
        <color rgb="FF1B2A4A"/>
      </bottom>
      <diagonal/>
    </border>
    <border diagonalUp="false" diagonalDown="false"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C0392B"/>
      </font>
      <fill>
        <patternFill>
          <bgColor rgb="FFFADBD8"/>
        </patternFill>
      </fill>
    </dxf>
    <dxf>
      <font>
        <color rgb="FF1E8449"/>
      </font>
      <fill>
        <patternFill>
          <bgColor rgb="FFD6F0E0"/>
        </patternFill>
      </fill>
    </dxf>
    <dxf>
      <font>
        <color rgb="FFE67E22"/>
      </font>
      <fill>
        <patternFill>
          <bgColor rgb="FFFEF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55555"/>
      <rgbColor rgb="FF800080"/>
      <rgbColor rgb="FF008080"/>
      <rgbColor rgb="FFCCCCCC"/>
      <rgbColor rgb="FF878787"/>
      <rgbColor rgb="FF9999FF"/>
      <rgbColor rgb="FF6C3483"/>
      <rgbColor rgb="FFFFF3CD"/>
      <rgbColor rgb="FFF5F5F5"/>
      <rgbColor rgb="FF660066"/>
      <rgbColor rgb="FFFF8080"/>
      <rgbColor rgb="FF0066CC"/>
      <rgbColor rgb="FFC5D8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6F0E0"/>
      <rgbColor rgb="FFFEF9E7"/>
      <rgbColor rgb="FFD9D9D9"/>
      <rgbColor rgb="FFFCE8D5"/>
      <rgbColor rgb="FFDDDDDD"/>
      <rgbColor rgb="FFFADBD8"/>
      <rgbColor rgb="FF4F81BD"/>
      <rgbColor rgb="FF33CCCC"/>
      <rgbColor rgb="FF99CC00"/>
      <rgbColor rgb="FFFFCC00"/>
      <rgbColor rgb="FFFF9900"/>
      <rgbColor rgb="FFE67E22"/>
      <rgbColor rgb="FF666666"/>
      <rgbColor rgb="FF999999"/>
      <rgbColor rgb="FF003366"/>
      <rgbColor rgb="FF1E8449"/>
      <rgbColor rgb="FF003300"/>
      <rgbColor rgb="FF1E5631"/>
      <rgbColor rgb="FF7B241C"/>
      <rgbColor rgb="FFC0392B"/>
      <rgbColor rgb="FF2952A3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Marks by Subject &amp; Exam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'Marks Tracker'!C25</c:f>
              <c:strCache>
                <c:ptCount val="1"/>
                <c:pt idx="0">
                  <c:v>UT1</c:v>
                </c:pt>
              </c:strCache>
            </c:strRef>
          </c:tx>
          <c:spPr>
            <a:solidFill>
              <a:srgbClr val="2952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'Marks Tracker'!$B$26:$B$31</c:f>
              <c:strCache>
                <c:ptCount val="6"/>
                <c:pt idx="0">
                  <c:v>English</c:v>
                </c:pt>
                <c:pt idx="1">
                  <c:v>Hindi</c:v>
                </c:pt>
                <c:pt idx="2">
                  <c:v>Mathematics</c:v>
                </c:pt>
                <c:pt idx="3">
                  <c:v>Science</c:v>
                </c:pt>
                <c:pt idx="4">
                  <c:v>Social Science</c:v>
                </c:pt>
                <c:pt idx="5">
                  <c:v>Computer Science</c:v>
                </c:pt>
              </c:strCache>
            </c:strRef>
          </c:cat>
          <c:val>
            <c:numRef>
              <c:f>'Marks Tracker'!$C$26:$C$31</c:f>
              <c:numCache>
                <c:formatCode>0</c:formatCode>
                <c:ptCount val="6"/>
                <c:pt idx="0">
                  <c:v>22</c:v>
                </c:pt>
                <c:pt idx="1">
                  <c:v>20</c:v>
                </c:pt>
                <c:pt idx="2">
                  <c:v>25</c:v>
                </c:pt>
                <c:pt idx="3">
                  <c:v>23</c:v>
                </c:pt>
                <c:pt idx="4">
                  <c:v>19</c:v>
                </c:pt>
                <c:pt idx="5">
                  <c:v>24</c:v>
                </c:pt>
              </c:numCache>
            </c:numRef>
          </c:val>
        </c:ser>
        <c:ser>
          <c:idx val="1"/>
          <c:order val="1"/>
          <c:tx>
            <c:strRef>
              <c:f>'Marks Tracker'!D25</c:f>
              <c:strCache>
                <c:ptCount val="1"/>
                <c:pt idx="0">
                  <c:v>Mid-Term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'Marks Tracker'!$B$26:$B$31</c:f>
              <c:strCache>
                <c:ptCount val="6"/>
                <c:pt idx="0">
                  <c:v>English</c:v>
                </c:pt>
                <c:pt idx="1">
                  <c:v>Hindi</c:v>
                </c:pt>
                <c:pt idx="2">
                  <c:v>Mathematics</c:v>
                </c:pt>
                <c:pt idx="3">
                  <c:v>Science</c:v>
                </c:pt>
                <c:pt idx="4">
                  <c:v>Social Science</c:v>
                </c:pt>
                <c:pt idx="5">
                  <c:v>Computer Science</c:v>
                </c:pt>
              </c:strCache>
            </c:strRef>
          </c:cat>
          <c:val>
            <c:numRef>
              <c:f>'Marks Tracker'!$D$26:$D$31</c:f>
              <c:numCache>
                <c:formatCode>0</c:formatCode>
                <c:ptCount val="6"/>
                <c:pt idx="0">
                  <c:v>44</c:v>
                </c:pt>
                <c:pt idx="1">
                  <c:v>41</c:v>
                </c:pt>
                <c:pt idx="2">
                  <c:v>48</c:v>
                </c:pt>
                <c:pt idx="3">
                  <c:v>45</c:v>
                </c:pt>
                <c:pt idx="4">
                  <c:v>38</c:v>
                </c:pt>
                <c:pt idx="5">
                  <c:v>47</c:v>
                </c:pt>
              </c:numCache>
            </c:numRef>
          </c:val>
        </c:ser>
        <c:ser>
          <c:idx val="2"/>
          <c:order val="2"/>
          <c:tx>
            <c:strRef>
              <c:f>'Marks Tracker'!E25</c:f>
              <c:strCache>
                <c:ptCount val="1"/>
                <c:pt idx="0">
                  <c:v>UT2</c:v>
                </c:pt>
              </c:strCache>
            </c:strRef>
          </c:tx>
          <c:spPr>
            <a:solidFill>
              <a:srgbClr val="1e84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'Marks Tracker'!$B$26:$B$31</c:f>
              <c:strCache>
                <c:ptCount val="6"/>
                <c:pt idx="0">
                  <c:v>English</c:v>
                </c:pt>
                <c:pt idx="1">
                  <c:v>Hindi</c:v>
                </c:pt>
                <c:pt idx="2">
                  <c:v>Mathematics</c:v>
                </c:pt>
                <c:pt idx="3">
                  <c:v>Science</c:v>
                </c:pt>
                <c:pt idx="4">
                  <c:v>Social Science</c:v>
                </c:pt>
                <c:pt idx="5">
                  <c:v>Computer Science</c:v>
                </c:pt>
              </c:strCache>
            </c:strRef>
          </c:cat>
          <c:val>
            <c:numRef>
              <c:f>'Marks Tracker'!$E$26:$E$31</c:f>
              <c:numCache>
                <c:formatCode>0</c:formatCode>
                <c:ptCount val="6"/>
                <c:pt idx="0">
                  <c:v>21</c:v>
                </c:pt>
                <c:pt idx="1">
                  <c:v>20</c:v>
                </c:pt>
                <c:pt idx="2">
                  <c:v>24</c:v>
                </c:pt>
                <c:pt idx="3">
                  <c:v>22</c:v>
                </c:pt>
                <c:pt idx="4">
                  <c:v>20</c:v>
                </c:pt>
                <c:pt idx="5">
                  <c:v>23</c:v>
                </c:pt>
              </c:numCache>
            </c:numRef>
          </c:val>
        </c:ser>
        <c:ser>
          <c:idx val="3"/>
          <c:order val="3"/>
          <c:tx>
            <c:strRef>
              <c:f>'Marks Tracker'!F25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6c34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'Marks Tracker'!$B$26:$B$31</c:f>
              <c:strCache>
                <c:ptCount val="6"/>
                <c:pt idx="0">
                  <c:v>English</c:v>
                </c:pt>
                <c:pt idx="1">
                  <c:v>Hindi</c:v>
                </c:pt>
                <c:pt idx="2">
                  <c:v>Mathematics</c:v>
                </c:pt>
                <c:pt idx="3">
                  <c:v>Science</c:v>
                </c:pt>
                <c:pt idx="4">
                  <c:v>Social Science</c:v>
                </c:pt>
                <c:pt idx="5">
                  <c:v>Computer Science</c:v>
                </c:pt>
              </c:strCache>
            </c:strRef>
          </c:cat>
          <c:val>
            <c:numRef>
              <c:f>'Marks Tracker'!$F$26:$F$31</c:f>
              <c:numCache>
                <c:formatCode>0</c:formatCode>
                <c:ptCount val="6"/>
                <c:pt idx="0">
                  <c:v>85</c:v>
                </c:pt>
                <c:pt idx="1">
                  <c:v>78</c:v>
                </c:pt>
                <c:pt idx="2">
                  <c:v>92</c:v>
                </c:pt>
                <c:pt idx="3">
                  <c:v>88</c:v>
                </c:pt>
                <c:pt idx="4">
                  <c:v>72</c:v>
                </c:pt>
                <c:pt idx="5">
                  <c:v>91</c:v>
                </c:pt>
              </c:numCache>
            </c:numRef>
          </c:val>
        </c:ser>
        <c:gapWidth val="150"/>
        <c:overlap val="0"/>
        <c:axId val="99461550"/>
        <c:axId val="26949951"/>
      </c:barChart>
      <c:catAx>
        <c:axId val="994615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49951"/>
        <c:crosses val="autoZero"/>
        <c:auto val="1"/>
        <c:lblAlgn val="ctr"/>
        <c:lblOffset val="100"/>
        <c:noMultiLvlLbl val="0"/>
      </c:catAx>
      <c:valAx>
        <c:axId val="26949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Marks Obtained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61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%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Attendance!C22</c:f>
              <c:strCache>
                <c:ptCount val="1"/>
                <c:pt idx="0">
                  <c:v>Attendance %</c:v>
                </c:pt>
              </c:strCache>
            </c:strRef>
          </c:tx>
          <c:spPr>
            <a:solidFill>
              <a:srgbClr val="2952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Attendance!$B$23:$B$28</c:f>
              <c:strCache>
                <c:ptCount val="6"/>
                <c:pt idx="0">
                  <c:v>English</c:v>
                </c:pt>
                <c:pt idx="1">
                  <c:v>Hindi</c:v>
                </c:pt>
                <c:pt idx="2">
                  <c:v>Mathematics</c:v>
                </c:pt>
                <c:pt idx="3">
                  <c:v>Science</c:v>
                </c:pt>
                <c:pt idx="4">
                  <c:v>Social Science</c:v>
                </c:pt>
                <c:pt idx="5">
                  <c:v>Computer Science</c:v>
                </c:pt>
              </c:strCache>
            </c:strRef>
          </c:cat>
          <c:val>
            <c:numRef>
              <c:f>Attendance!$C$23:$C$28</c:f>
              <c:numCache>
                <c:formatCode>0.0%</c:formatCode>
                <c:ptCount val="6"/>
                <c:pt idx="0">
                  <c:v>0.847457627118644</c:v>
                </c:pt>
                <c:pt idx="1">
                  <c:v>0.745762711864407</c:v>
                </c:pt>
                <c:pt idx="2">
                  <c:v>0.834745762711864</c:v>
                </c:pt>
                <c:pt idx="3">
                  <c:v>0.805084745762712</c:v>
                </c:pt>
                <c:pt idx="4">
                  <c:v>0.76271186440678</c:v>
                </c:pt>
                <c:pt idx="5">
                  <c:v>0.872881355932203</c:v>
                </c:pt>
              </c:numCache>
            </c:numRef>
          </c:val>
        </c:ser>
        <c:gapWidth val="150"/>
        <c:overlap val="0"/>
        <c:axId val="35226190"/>
        <c:axId val="44456320"/>
      </c:barChart>
      <c:catAx>
        <c:axId val="3522619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56320"/>
        <c:crosses val="autoZero"/>
        <c:auto val="1"/>
        <c:lblAlgn val="ctr"/>
        <c:lblOffset val="100"/>
        <c:noMultiLvlLbl val="0"/>
      </c:catAx>
      <c:valAx>
        <c:axId val="44456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261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Subject Grade Points Radar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'GPA Calculator'!C32</c:f>
              <c:strCache>
                <c:ptCount val="1"/>
                <c:pt idx="0">
                  <c:v>Grade Points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'GPA Calculator'!$B$33:$B$38</c:f>
              <c:strCache>
                <c:ptCount val="6"/>
                <c:pt idx="0">
                  <c:v>English</c:v>
                </c:pt>
                <c:pt idx="1">
                  <c:v>Hindi</c:v>
                </c:pt>
                <c:pt idx="2">
                  <c:v>Mathematics</c:v>
                </c:pt>
                <c:pt idx="3">
                  <c:v>Science</c:v>
                </c:pt>
                <c:pt idx="4">
                  <c:v>Social Science</c:v>
                </c:pt>
                <c:pt idx="5">
                  <c:v>Computer Science</c:v>
                </c:pt>
              </c:strCache>
            </c:strRef>
          </c:cat>
          <c:val>
            <c:numRef>
              <c:f>'GPA Calculator'!$C$33:$C$38</c:f>
              <c:numCache>
                <c:formatCode>0</c:formatCode>
                <c:ptCount val="6"/>
                <c:pt idx="0">
                  <c:v>9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10</c:v>
                </c:pt>
              </c:numCache>
            </c:numRef>
          </c:val>
        </c:ser>
        <c:axId val="19569334"/>
        <c:axId val="80812887"/>
      </c:radarChart>
      <c:catAx>
        <c:axId val="1956933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12887"/>
        <c:crosses val="autoZero"/>
        <c:auto val="1"/>
        <c:lblAlgn val="ctr"/>
        <c:lblOffset val="100"/>
        <c:noMultiLvlLbl val="0"/>
      </c:catAx>
      <c:valAx>
        <c:axId val="80812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6933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15</xdr:row>
      <xdr:rowOff>0</xdr:rowOff>
    </xdr:from>
    <xdr:to>
      <xdr:col>13</xdr:col>
      <xdr:colOff>589320</xdr:colOff>
      <xdr:row>40</xdr:row>
      <xdr:rowOff>134280</xdr:rowOff>
    </xdr:to>
    <xdr:graphicFrame>
      <xdr:nvGraphicFramePr>
        <xdr:cNvPr id="0" name="Chart 1"/>
        <xdr:cNvGraphicFramePr/>
      </xdr:nvGraphicFramePr>
      <xdr:xfrm>
        <a:off x="4511160" y="33433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8</xdr:col>
      <xdr:colOff>699840</xdr:colOff>
      <xdr:row>41</xdr:row>
      <xdr:rowOff>128520</xdr:rowOff>
    </xdr:to>
    <xdr:graphicFrame>
      <xdr:nvGraphicFramePr>
        <xdr:cNvPr id="1" name="Chart 1"/>
        <xdr:cNvGraphicFramePr/>
      </xdr:nvGraphicFramePr>
      <xdr:xfrm>
        <a:off x="211320" y="42670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6</xdr:col>
      <xdr:colOff>120600</xdr:colOff>
      <xdr:row>53</xdr:row>
      <xdr:rowOff>86760</xdr:rowOff>
    </xdr:to>
    <xdr:graphicFrame>
      <xdr:nvGraphicFramePr>
        <xdr:cNvPr id="2" name="Chart 1"/>
        <xdr:cNvGraphicFramePr/>
      </xdr:nvGraphicFramePr>
      <xdr:xfrm>
        <a:off x="211320" y="622944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B1:M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13" min="3" style="0" width="12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2</v>
      </c>
      <c r="E4" s="3" t="s">
        <v>3</v>
      </c>
      <c r="H4" s="3" t="s">
        <v>4</v>
      </c>
      <c r="K4" s="3" t="s">
        <v>5</v>
      </c>
    </row>
    <row r="5" customFormat="false" ht="19.5" hidden="false" customHeight="true" outlineLevel="0" collapsed="false">
      <c r="B5" s="4" t="s">
        <v>6</v>
      </c>
      <c r="E5" s="4" t="s">
        <v>7</v>
      </c>
      <c r="H5" s="4" t="s">
        <v>8</v>
      </c>
      <c r="K5" s="4" t="s">
        <v>9</v>
      </c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9.75" hidden="false" customHeight="true" outlineLevel="0" collapsed="false"/>
    <row r="10" customFormat="false" ht="21.75" hidden="false" customHeight="true" outlineLevel="0" collapsed="false">
      <c r="B10" s="5" t="s">
        <v>10</v>
      </c>
      <c r="C10" s="5"/>
      <c r="D10" s="5"/>
      <c r="E10" s="6" t="s">
        <v>11</v>
      </c>
      <c r="F10" s="6"/>
      <c r="G10" s="6"/>
      <c r="H10" s="7" t="s">
        <v>12</v>
      </c>
      <c r="I10" s="7"/>
      <c r="J10" s="7"/>
      <c r="K10" s="8" t="s">
        <v>13</v>
      </c>
      <c r="L10" s="8"/>
      <c r="M10" s="8"/>
    </row>
    <row r="11" customFormat="false" ht="21.75" hidden="false" customHeight="true" outlineLevel="0" collapsed="false">
      <c r="B11" s="9" t="n">
        <f aca="false">'Marks Tracker'!N14</f>
        <v>0</v>
      </c>
      <c r="C11" s="9"/>
      <c r="D11" s="9"/>
      <c r="E11" s="10" t="str">
        <f aca="false">'Marks Tracker'!B17</f>
        <v>Best Subject:</v>
      </c>
      <c r="F11" s="10"/>
      <c r="G11" s="10"/>
      <c r="H11" s="11" t="n">
        <f aca="false">Attendance!O14</f>
        <v>191.5</v>
      </c>
      <c r="I11" s="11"/>
      <c r="J11" s="11"/>
      <c r="K11" s="12" t="n">
        <f aca="false">Assignments!F3</f>
        <v>5</v>
      </c>
      <c r="L11" s="12"/>
      <c r="M11" s="12"/>
    </row>
    <row r="12" customFormat="false" ht="21.75" hidden="false" customHeight="true" outlineLevel="0" collapsed="false">
      <c r="B12" s="9"/>
      <c r="C12" s="9"/>
      <c r="D12" s="9"/>
      <c r="E12" s="10"/>
      <c r="F12" s="10"/>
      <c r="G12" s="10"/>
      <c r="H12" s="11"/>
      <c r="I12" s="11"/>
      <c r="J12" s="11"/>
      <c r="K12" s="12"/>
      <c r="L12" s="12"/>
      <c r="M12" s="12"/>
    </row>
    <row r="13" customFormat="false" ht="21.75" hidden="false" customHeight="true" outlineLevel="0" collapsed="false">
      <c r="B13" s="9"/>
      <c r="C13" s="9"/>
      <c r="D13" s="9"/>
      <c r="E13" s="10"/>
      <c r="F13" s="10"/>
      <c r="G13" s="10"/>
      <c r="H13" s="11"/>
      <c r="I13" s="11"/>
      <c r="J13" s="11"/>
      <c r="K13" s="12"/>
      <c r="L13" s="12"/>
      <c r="M13" s="12"/>
    </row>
    <row r="14" customFormat="false" ht="21.75" hidden="false" customHeight="true" outlineLevel="0" collapsed="false">
      <c r="B14" s="13" t="s">
        <v>14</v>
      </c>
      <c r="C14" s="13"/>
      <c r="D14" s="13"/>
      <c r="E14" s="14" t="s">
        <v>14</v>
      </c>
      <c r="F14" s="14"/>
      <c r="G14" s="14"/>
      <c r="H14" s="15" t="s">
        <v>14</v>
      </c>
      <c r="I14" s="15"/>
      <c r="J14" s="15"/>
      <c r="K14" s="16" t="s">
        <v>14</v>
      </c>
      <c r="L14" s="16"/>
      <c r="M14" s="16"/>
    </row>
    <row r="16" customFormat="false" ht="9.75" hidden="false" customHeight="true" outlineLevel="0" collapsed="false"/>
    <row r="17" customFormat="false" ht="21.75" hidden="false" customHeight="true" outlineLevel="0" collapsed="false">
      <c r="B17" s="17" t="s">
        <v>15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customFormat="false" ht="19.5" hidden="false" customHeight="true" outlineLevel="0" collapsed="false">
      <c r="B18" s="18" t="s">
        <v>16</v>
      </c>
      <c r="C18" s="18" t="s">
        <v>17</v>
      </c>
      <c r="D18" s="18" t="s">
        <v>18</v>
      </c>
      <c r="E18" s="18" t="s">
        <v>19</v>
      </c>
      <c r="F18" s="18" t="s">
        <v>20</v>
      </c>
      <c r="G18" s="18" t="s">
        <v>21</v>
      </c>
      <c r="H18" s="18" t="s">
        <v>22</v>
      </c>
      <c r="I18" s="18" t="s">
        <v>23</v>
      </c>
    </row>
    <row r="19" customFormat="false" ht="18" hidden="false" customHeight="true" outlineLevel="0" collapsed="false">
      <c r="B19" s="19" t="s">
        <v>24</v>
      </c>
      <c r="C19" s="20" t="n">
        <f aca="false">'Marks Tracker'!C6</f>
        <v>22</v>
      </c>
      <c r="D19" s="20" t="n">
        <f aca="false">'Marks Tracker'!D6</f>
        <v>44</v>
      </c>
      <c r="E19" s="20" t="n">
        <f aca="false">'Marks Tracker'!E6</f>
        <v>21</v>
      </c>
      <c r="F19" s="20" t="n">
        <f aca="false">'Marks Tracker'!F6</f>
        <v>85</v>
      </c>
      <c r="G19" s="21" t="n">
        <f aca="false">IFERROR('Marks Tracker'!I6/100,0)</f>
        <v>0</v>
      </c>
      <c r="H19" s="22" t="str">
        <f aca="false">IF(G19&gt;=0.9,"A1",IF(G19&gt;=0.8,"A2",IF(G19&gt;=0.7,"B1",IF(G19&gt;=0.6,"B2",IF(G19&gt;=0.5,"C1",IF(G19&gt;=0.4,"C2","D"))))))</f>
        <v>D</v>
      </c>
      <c r="I19" s="22" t="str">
        <f aca="false">IF(G19&gt;=0.75,"✅ Good",IF(G19&gt;=0.5,"⚠️ Average","❌ Needs Work"))</f>
        <v>❌ Needs Work</v>
      </c>
    </row>
    <row r="20" customFormat="false" ht="18" hidden="false" customHeight="true" outlineLevel="0" collapsed="false">
      <c r="B20" s="19" t="s">
        <v>25</v>
      </c>
      <c r="C20" s="23" t="n">
        <f aca="false">'Marks Tracker'!C7</f>
        <v>20</v>
      </c>
      <c r="D20" s="23" t="n">
        <f aca="false">'Marks Tracker'!D7</f>
        <v>41</v>
      </c>
      <c r="E20" s="23" t="n">
        <f aca="false">'Marks Tracker'!E7</f>
        <v>20</v>
      </c>
      <c r="F20" s="23" t="n">
        <f aca="false">'Marks Tracker'!F7</f>
        <v>78</v>
      </c>
      <c r="G20" s="24" t="n">
        <f aca="false">IFERROR('Marks Tracker'!I7/100,0)</f>
        <v>0</v>
      </c>
      <c r="H20" s="25" t="str">
        <f aca="false">IF(G20&gt;=0.9,"A1",IF(G20&gt;=0.8,"A2",IF(G20&gt;=0.7,"B1",IF(G20&gt;=0.6,"B2",IF(G20&gt;=0.5,"C1",IF(G20&gt;=0.4,"C2","D"))))))</f>
        <v>D</v>
      </c>
      <c r="I20" s="25" t="str">
        <f aca="false">IF(G20&gt;=0.75,"✅ Good",IF(G20&gt;=0.5,"⚠️ Average","❌ Needs Work"))</f>
        <v>❌ Needs Work</v>
      </c>
    </row>
    <row r="21" customFormat="false" ht="18" hidden="false" customHeight="true" outlineLevel="0" collapsed="false">
      <c r="B21" s="19" t="s">
        <v>26</v>
      </c>
      <c r="C21" s="20" t="n">
        <f aca="false">'Marks Tracker'!C8</f>
        <v>25</v>
      </c>
      <c r="D21" s="20" t="n">
        <f aca="false">'Marks Tracker'!D8</f>
        <v>48</v>
      </c>
      <c r="E21" s="20" t="n">
        <f aca="false">'Marks Tracker'!E8</f>
        <v>24</v>
      </c>
      <c r="F21" s="20" t="n">
        <f aca="false">'Marks Tracker'!F8</f>
        <v>92</v>
      </c>
      <c r="G21" s="21" t="n">
        <f aca="false">IFERROR('Marks Tracker'!I8/100,0)</f>
        <v>0</v>
      </c>
      <c r="H21" s="22" t="str">
        <f aca="false">IF(G21&gt;=0.9,"A1",IF(G21&gt;=0.8,"A2",IF(G21&gt;=0.7,"B1",IF(G21&gt;=0.6,"B2",IF(G21&gt;=0.5,"C1",IF(G21&gt;=0.4,"C2","D"))))))</f>
        <v>D</v>
      </c>
      <c r="I21" s="22" t="str">
        <f aca="false">IF(G21&gt;=0.75,"✅ Good",IF(G21&gt;=0.5,"⚠️ Average","❌ Needs Work"))</f>
        <v>❌ Needs Work</v>
      </c>
    </row>
    <row r="22" customFormat="false" ht="18" hidden="false" customHeight="true" outlineLevel="0" collapsed="false">
      <c r="B22" s="19" t="s">
        <v>27</v>
      </c>
      <c r="C22" s="23" t="n">
        <f aca="false">'Marks Tracker'!C9</f>
        <v>23</v>
      </c>
      <c r="D22" s="23" t="n">
        <f aca="false">'Marks Tracker'!D9</f>
        <v>45</v>
      </c>
      <c r="E22" s="23" t="n">
        <f aca="false">'Marks Tracker'!E9</f>
        <v>22</v>
      </c>
      <c r="F22" s="23" t="n">
        <f aca="false">'Marks Tracker'!F9</f>
        <v>88</v>
      </c>
      <c r="G22" s="24" t="n">
        <f aca="false">IFERROR('Marks Tracker'!I9/100,0)</f>
        <v>0</v>
      </c>
      <c r="H22" s="25" t="str">
        <f aca="false">IF(G22&gt;=0.9,"A1",IF(G22&gt;=0.8,"A2",IF(G22&gt;=0.7,"B1",IF(G22&gt;=0.6,"B2",IF(G22&gt;=0.5,"C1",IF(G22&gt;=0.4,"C2","D"))))))</f>
        <v>D</v>
      </c>
      <c r="I22" s="25" t="str">
        <f aca="false">IF(G22&gt;=0.75,"✅ Good",IF(G22&gt;=0.5,"⚠️ Average","❌ Needs Work"))</f>
        <v>❌ Needs Work</v>
      </c>
    </row>
    <row r="23" customFormat="false" ht="18" hidden="false" customHeight="true" outlineLevel="0" collapsed="false">
      <c r="B23" s="19" t="s">
        <v>28</v>
      </c>
      <c r="C23" s="20" t="n">
        <f aca="false">'Marks Tracker'!C10</f>
        <v>19</v>
      </c>
      <c r="D23" s="20" t="n">
        <f aca="false">'Marks Tracker'!D10</f>
        <v>38</v>
      </c>
      <c r="E23" s="20" t="n">
        <f aca="false">'Marks Tracker'!E10</f>
        <v>20</v>
      </c>
      <c r="F23" s="20" t="n">
        <f aca="false">'Marks Tracker'!F10</f>
        <v>72</v>
      </c>
      <c r="G23" s="21" t="n">
        <f aca="false">IFERROR('Marks Tracker'!I10/100,0)</f>
        <v>0</v>
      </c>
      <c r="H23" s="22" t="str">
        <f aca="false">IF(G23&gt;=0.9,"A1",IF(G23&gt;=0.8,"A2",IF(G23&gt;=0.7,"B1",IF(G23&gt;=0.6,"B2",IF(G23&gt;=0.5,"C1",IF(G23&gt;=0.4,"C2","D"))))))</f>
        <v>D</v>
      </c>
      <c r="I23" s="22" t="str">
        <f aca="false">IF(G23&gt;=0.75,"✅ Good",IF(G23&gt;=0.5,"⚠️ Average","❌ Needs Work"))</f>
        <v>❌ Needs Work</v>
      </c>
    </row>
    <row r="24" customFormat="false" ht="18" hidden="false" customHeight="true" outlineLevel="0" collapsed="false">
      <c r="B24" s="19" t="s">
        <v>29</v>
      </c>
      <c r="C24" s="23" t="n">
        <f aca="false">'Marks Tracker'!C11</f>
        <v>24</v>
      </c>
      <c r="D24" s="23" t="n">
        <f aca="false">'Marks Tracker'!D11</f>
        <v>47</v>
      </c>
      <c r="E24" s="23" t="n">
        <f aca="false">'Marks Tracker'!E11</f>
        <v>23</v>
      </c>
      <c r="F24" s="23" t="n">
        <f aca="false">'Marks Tracker'!F11</f>
        <v>91</v>
      </c>
      <c r="G24" s="24" t="n">
        <f aca="false">IFERROR('Marks Tracker'!I11/100,0)</f>
        <v>0</v>
      </c>
      <c r="H24" s="25" t="str">
        <f aca="false">IF(G24&gt;=0.9,"A1",IF(G24&gt;=0.8,"A2",IF(G24&gt;=0.7,"B1",IF(G24&gt;=0.6,"B2",IF(G24&gt;=0.5,"C1",IF(G24&gt;=0.4,"C2","D"))))))</f>
        <v>D</v>
      </c>
      <c r="I24" s="25" t="str">
        <f aca="false">IF(G24&gt;=0.75,"✅ Good",IF(G24&gt;=0.5,"⚠️ Average","❌ Needs Work"))</f>
        <v>❌ Needs Work</v>
      </c>
    </row>
  </sheetData>
  <mergeCells count="15">
    <mergeCell ref="B1:M1"/>
    <mergeCell ref="B2:M2"/>
    <mergeCell ref="B10:D10"/>
    <mergeCell ref="E10:G10"/>
    <mergeCell ref="H10:J10"/>
    <mergeCell ref="K10:M10"/>
    <mergeCell ref="B11:D13"/>
    <mergeCell ref="E11:G13"/>
    <mergeCell ref="H11:J13"/>
    <mergeCell ref="K11:M13"/>
    <mergeCell ref="B14:D14"/>
    <mergeCell ref="E14:G14"/>
    <mergeCell ref="H14:J14"/>
    <mergeCell ref="K14:M14"/>
    <mergeCell ref="B17:M17"/>
  </mergeCells>
  <conditionalFormatting sqref="G19:G24">
    <cfRule type="colorScale" priority="2">
      <colorScale>
        <cfvo type="num" val="0.4"/>
        <cfvo type="num" val="0.65"/>
        <cfvo type="num" val="0.9"/>
        <color rgb="FFF1948A"/>
        <color rgb="FFF9E79F"/>
        <color rgb="FF82E0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52A3"/>
    <pageSetUpPr fitToPage="true"/>
  </sheetPr>
  <dimension ref="B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5" min="3" style="0" width="13"/>
  </cols>
  <sheetData>
    <row r="1" customFormat="false" ht="30" hidden="false" customHeight="true" outlineLevel="0" collapsed="false">
      <c r="B1" s="26" t="s">
        <v>30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customFormat="false" ht="15" hidden="false" customHeight="true" outlineLevel="0" collapsed="false">
      <c r="B2" s="27" t="s">
        <v>31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customFormat="false" ht="7.5" hidden="false" customHeight="true" outlineLevel="0" collapsed="false"/>
    <row r="4" customFormat="false" ht="19.5" hidden="false" customHeight="true" outlineLevel="0" collapsed="false">
      <c r="B4" s="28" t="s">
        <v>32</v>
      </c>
      <c r="C4" s="29" t="n">
        <v>25</v>
      </c>
      <c r="D4" s="29" t="n">
        <v>50</v>
      </c>
      <c r="E4" s="29" t="n">
        <v>25</v>
      </c>
      <c r="F4" s="29" t="n">
        <v>100</v>
      </c>
    </row>
    <row r="5" customFormat="false" ht="21.75" hidden="false" customHeight="true" outlineLevel="0" collapsed="false">
      <c r="B5" s="18" t="s">
        <v>16</v>
      </c>
      <c r="C5" s="18" t="s">
        <v>33</v>
      </c>
      <c r="D5" s="18" t="s">
        <v>34</v>
      </c>
      <c r="E5" s="18" t="s">
        <v>35</v>
      </c>
      <c r="F5" s="18" t="s">
        <v>36</v>
      </c>
      <c r="G5" s="18" t="s">
        <v>37</v>
      </c>
      <c r="H5" s="18" t="s">
        <v>38</v>
      </c>
      <c r="I5" s="18" t="s">
        <v>22</v>
      </c>
      <c r="J5" s="18" t="s">
        <v>39</v>
      </c>
      <c r="K5" s="18" t="s">
        <v>40</v>
      </c>
    </row>
    <row r="6" customFormat="false" ht="19.5" hidden="false" customHeight="true" outlineLevel="0" collapsed="false">
      <c r="B6" s="30" t="s">
        <v>24</v>
      </c>
      <c r="C6" s="31" t="n">
        <v>22</v>
      </c>
      <c r="D6" s="31" t="n">
        <v>44</v>
      </c>
      <c r="E6" s="31" t="n">
        <v>21</v>
      </c>
      <c r="F6" s="31" t="n">
        <v>85</v>
      </c>
      <c r="G6" s="32" t="n">
        <f aca="false">IFERROR((C6/C$4*10)+(D6/D$4*20)+(E6/E$4*10)+(F6/F$4*60),0)</f>
        <v>85.8</v>
      </c>
      <c r="H6" s="33" t="n">
        <f aca="false">IFERROR(G6/100,0)</f>
        <v>0.858</v>
      </c>
      <c r="I6" s="22" t="str">
        <f aca="false">IF(G6&gt;=90,"A1 (O)",IF(G6&gt;=80,"A2 (E)",IF(G6&gt;=70,"B1 (VG)",IF(G6&gt;=60,"B2 (G)",IF(G6&gt;=50,"C1",IF(G6&gt;=40,"C2","D (FAIL)"))))))</f>
        <v>A2 (E)</v>
      </c>
      <c r="J6" s="34" t="n">
        <f aca="false">RANK(G6,$G$6:$G$11,0)</f>
        <v>4</v>
      </c>
      <c r="K6" s="22" t="str">
        <f aca="false">IF(G6&gt;=75,"Great Work! 🌟",IF(G6&gt;=50,"Keep it up 👍","Need Improvement ⚠️"))</f>
        <v>Great Work! 🌟</v>
      </c>
    </row>
    <row r="7" customFormat="false" ht="19.5" hidden="false" customHeight="true" outlineLevel="0" collapsed="false">
      <c r="B7" s="35" t="s">
        <v>25</v>
      </c>
      <c r="C7" s="36" t="n">
        <v>20</v>
      </c>
      <c r="D7" s="36" t="n">
        <v>41</v>
      </c>
      <c r="E7" s="36" t="n">
        <v>20</v>
      </c>
      <c r="F7" s="36" t="n">
        <v>78</v>
      </c>
      <c r="G7" s="37" t="n">
        <f aca="false">IFERROR((C7/C$4*10)+(D7/D$4*20)+(E7/E$4*10)+(F7/F$4*60),0)</f>
        <v>79.2</v>
      </c>
      <c r="H7" s="38" t="n">
        <f aca="false">IFERROR(G7/100,0)</f>
        <v>0.792</v>
      </c>
      <c r="I7" s="25" t="str">
        <f aca="false">IF(G7&gt;=90,"A1 (O)",IF(G7&gt;=80,"A2 (E)",IF(G7&gt;=70,"B1 (VG)",IF(G7&gt;=60,"B2 (G)",IF(G7&gt;=50,"C1",IF(G7&gt;=40,"C2","D (FAIL)"))))))</f>
        <v>B1 (VG)</v>
      </c>
      <c r="J7" s="39" t="n">
        <f aca="false">RANK(G7,$G$6:$G$11,0)</f>
        <v>5</v>
      </c>
      <c r="K7" s="25" t="str">
        <f aca="false">IF(G7&gt;=75,"Great Work! 🌟",IF(G7&gt;=50,"Keep it up 👍","Need Improvement ⚠️"))</f>
        <v>Great Work! 🌟</v>
      </c>
    </row>
    <row r="8" customFormat="false" ht="19.5" hidden="false" customHeight="true" outlineLevel="0" collapsed="false">
      <c r="B8" s="30" t="s">
        <v>26</v>
      </c>
      <c r="C8" s="31" t="n">
        <v>25</v>
      </c>
      <c r="D8" s="31" t="n">
        <v>48</v>
      </c>
      <c r="E8" s="31" t="n">
        <v>24</v>
      </c>
      <c r="F8" s="31" t="n">
        <v>92</v>
      </c>
      <c r="G8" s="32" t="n">
        <f aca="false">IFERROR((C8/C$4*10)+(D8/D$4*20)+(E8/E$4*10)+(F8/F$4*60),0)</f>
        <v>94</v>
      </c>
      <c r="H8" s="33" t="n">
        <f aca="false">IFERROR(G8/100,0)</f>
        <v>0.94</v>
      </c>
      <c r="I8" s="22" t="str">
        <f aca="false">IF(G8&gt;=90,"A1 (O)",IF(G8&gt;=80,"A2 (E)",IF(G8&gt;=70,"B1 (VG)",IF(G8&gt;=60,"B2 (G)",IF(G8&gt;=50,"C1",IF(G8&gt;=40,"C2","D (FAIL)"))))))</f>
        <v>A1 (O)</v>
      </c>
      <c r="J8" s="34" t="n">
        <f aca="false">RANK(G8,$G$6:$G$11,0)</f>
        <v>1</v>
      </c>
      <c r="K8" s="22" t="str">
        <f aca="false">IF(G8&gt;=75,"Great Work! 🌟",IF(G8&gt;=50,"Keep it up 👍","Need Improvement ⚠️"))</f>
        <v>Great Work! 🌟</v>
      </c>
    </row>
    <row r="9" customFormat="false" ht="19.5" hidden="false" customHeight="true" outlineLevel="0" collapsed="false">
      <c r="B9" s="35" t="s">
        <v>27</v>
      </c>
      <c r="C9" s="36" t="n">
        <v>23</v>
      </c>
      <c r="D9" s="36" t="n">
        <v>45</v>
      </c>
      <c r="E9" s="36" t="n">
        <v>22</v>
      </c>
      <c r="F9" s="36" t="n">
        <v>88</v>
      </c>
      <c r="G9" s="37" t="n">
        <f aca="false">IFERROR((C9/C$4*10)+(D9/D$4*20)+(E9/E$4*10)+(F9/F$4*60),0)</f>
        <v>88.8</v>
      </c>
      <c r="H9" s="38" t="n">
        <f aca="false">IFERROR(G9/100,0)</f>
        <v>0.888</v>
      </c>
      <c r="I9" s="25" t="str">
        <f aca="false">IF(G9&gt;=90,"A1 (O)",IF(G9&gt;=80,"A2 (E)",IF(G9&gt;=70,"B1 (VG)",IF(G9&gt;=60,"B2 (G)",IF(G9&gt;=50,"C1",IF(G9&gt;=40,"C2","D (FAIL)"))))))</f>
        <v>A2 (E)</v>
      </c>
      <c r="J9" s="39" t="n">
        <f aca="false">RANK(G9,$G$6:$G$11,0)</f>
        <v>3</v>
      </c>
      <c r="K9" s="25" t="str">
        <f aca="false">IF(G9&gt;=75,"Great Work! 🌟",IF(G9&gt;=50,"Keep it up 👍","Need Improvement ⚠️"))</f>
        <v>Great Work! 🌟</v>
      </c>
    </row>
    <row r="10" customFormat="false" ht="19.5" hidden="false" customHeight="true" outlineLevel="0" collapsed="false">
      <c r="B10" s="30" t="s">
        <v>28</v>
      </c>
      <c r="C10" s="31" t="n">
        <v>19</v>
      </c>
      <c r="D10" s="31" t="n">
        <v>38</v>
      </c>
      <c r="E10" s="31" t="n">
        <v>20</v>
      </c>
      <c r="F10" s="31" t="n">
        <v>72</v>
      </c>
      <c r="G10" s="32" t="n">
        <f aca="false">IFERROR((C10/C$4*10)+(D10/D$4*20)+(E10/E$4*10)+(F10/F$4*60),0)</f>
        <v>74</v>
      </c>
      <c r="H10" s="33" t="n">
        <f aca="false">IFERROR(G10/100,0)</f>
        <v>0.74</v>
      </c>
      <c r="I10" s="22" t="str">
        <f aca="false">IF(G10&gt;=90,"A1 (O)",IF(G10&gt;=80,"A2 (E)",IF(G10&gt;=70,"B1 (VG)",IF(G10&gt;=60,"B2 (G)",IF(G10&gt;=50,"C1",IF(G10&gt;=40,"C2","D (FAIL)"))))))</f>
        <v>B1 (VG)</v>
      </c>
      <c r="J10" s="34" t="n">
        <f aca="false">RANK(G10,$G$6:$G$11,0)</f>
        <v>6</v>
      </c>
      <c r="K10" s="22" t="str">
        <f aca="false">IF(G10&gt;=75,"Great Work! 🌟",IF(G10&gt;=50,"Keep it up 👍","Need Improvement ⚠️"))</f>
        <v>Keep it up 👍</v>
      </c>
    </row>
    <row r="11" customFormat="false" ht="19.5" hidden="false" customHeight="true" outlineLevel="0" collapsed="false">
      <c r="B11" s="35" t="s">
        <v>29</v>
      </c>
      <c r="C11" s="36" t="n">
        <v>24</v>
      </c>
      <c r="D11" s="36" t="n">
        <v>47</v>
      </c>
      <c r="E11" s="36" t="n">
        <v>23</v>
      </c>
      <c r="F11" s="36" t="n">
        <v>91</v>
      </c>
      <c r="G11" s="37" t="n">
        <f aca="false">IFERROR((C11/C$4*10)+(D11/D$4*20)+(E11/E$4*10)+(F11/F$4*60),0)</f>
        <v>92.2</v>
      </c>
      <c r="H11" s="38" t="n">
        <f aca="false">IFERROR(G11/100,0)</f>
        <v>0.922</v>
      </c>
      <c r="I11" s="25" t="str">
        <f aca="false">IF(G11&gt;=90,"A1 (O)",IF(G11&gt;=80,"A2 (E)",IF(G11&gt;=70,"B1 (VG)",IF(G11&gt;=60,"B2 (G)",IF(G11&gt;=50,"C1",IF(G11&gt;=40,"C2","D (FAIL)"))))))</f>
        <v>A1 (O)</v>
      </c>
      <c r="J11" s="39" t="n">
        <f aca="false">RANK(G11,$G$6:$G$11,0)</f>
        <v>2</v>
      </c>
      <c r="K11" s="25" t="str">
        <f aca="false">IF(G11&gt;=75,"Great Work! 🌟",IF(G11&gt;=50,"Keep it up 👍","Need Improvement ⚠️"))</f>
        <v>Great Work! 🌟</v>
      </c>
    </row>
    <row r="12" customFormat="false" ht="6" hidden="false" customHeight="true" outlineLevel="0" collapsed="false"/>
    <row r="13" customFormat="false" ht="21.75" hidden="false" customHeight="true" outlineLevel="0" collapsed="false">
      <c r="B13" s="40" t="s">
        <v>41</v>
      </c>
      <c r="C13" s="41" t="n">
        <f aca="false">IFERROR(AVERAGE(C6:C11),"-")</f>
        <v>22.1666666666667</v>
      </c>
      <c r="D13" s="41" t="n">
        <f aca="false">IFERROR(AVERAGE(D6:D11),"-")</f>
        <v>43.8333333333333</v>
      </c>
      <c r="E13" s="41" t="n">
        <f aca="false">IFERROR(AVERAGE(E6:E11),"-")</f>
        <v>21.6666666666667</v>
      </c>
      <c r="F13" s="41" t="n">
        <f aca="false">IFERROR(AVERAGE(F6:F11),"-")</f>
        <v>84.3333333333333</v>
      </c>
      <c r="G13" s="42" t="n">
        <f aca="false">IFERROR(AVERAGE(G6:G11),"-")</f>
        <v>85.6666666666667</v>
      </c>
      <c r="H13" s="43" t="n">
        <f aca="false">IFERROR(AVERAGE(H6:H11),"-")</f>
        <v>0.856666666666667</v>
      </c>
      <c r="I13" s="41" t="str">
        <f aca="false">IFERROR(AVERAGE(I6:I11),"-")</f>
        <v>-</v>
      </c>
      <c r="J13" s="42" t="n">
        <f aca="false">IFERROR(AVERAGE(J6:J11),"-")</f>
        <v>3.5</v>
      </c>
      <c r="K13" s="41" t="str">
        <f aca="false">IFERROR(AVERAGE(K6:K11),"-")</f>
        <v>-</v>
      </c>
    </row>
    <row r="15" customFormat="false" ht="9.75" hidden="false" customHeight="true" outlineLevel="0" collapsed="false"/>
    <row r="16" customFormat="false" ht="21.75" hidden="false" customHeight="true" outlineLevel="0" collapsed="false">
      <c r="B16" s="17" t="s">
        <v>42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customFormat="false" ht="19.5" hidden="false" customHeight="true" outlineLevel="0" collapsed="false">
      <c r="B17" s="44" t="s">
        <v>43</v>
      </c>
      <c r="C17" s="45" t="str">
        <f aca="false">INDEX($B$6:$B$11,MATCH(MAX($G$6:$G$11),$G$6:$G$11,0))</f>
        <v>Mathematics</v>
      </c>
    </row>
    <row r="18" customFormat="false" ht="15" hidden="false" customHeight="false" outlineLevel="0" collapsed="false">
      <c r="B18" s="44" t="s">
        <v>44</v>
      </c>
      <c r="C18" s="46" t="str">
        <f aca="false">INDEX($B$6:$B$11,MATCH(MIN($G$6:$G$11),$G$6:$G$11,0))</f>
        <v>Social Science</v>
      </c>
    </row>
    <row r="19" customFormat="false" ht="15" hidden="false" customHeight="false" outlineLevel="0" collapsed="false">
      <c r="B19" s="44" t="s">
        <v>45</v>
      </c>
      <c r="C19" s="47" t="n">
        <f aca="false">MAX($G$6:$G$11)</f>
        <v>94</v>
      </c>
    </row>
    <row r="20" customFormat="false" ht="15" hidden="false" customHeight="false" outlineLevel="0" collapsed="false">
      <c r="B20" s="44" t="s">
        <v>46</v>
      </c>
      <c r="C20" s="48" t="n">
        <f aca="false">MIN($G$6:$G$11)</f>
        <v>74</v>
      </c>
    </row>
    <row r="25" customFormat="false" ht="15" hidden="false" customHeight="false" outlineLevel="0" collapsed="false">
      <c r="B25" s="0" t="s">
        <v>16</v>
      </c>
      <c r="C25" s="0" t="s">
        <v>17</v>
      </c>
      <c r="D25" s="0" t="s">
        <v>18</v>
      </c>
      <c r="E25" s="0" t="s">
        <v>19</v>
      </c>
      <c r="F25" s="0" t="s">
        <v>20</v>
      </c>
    </row>
    <row r="26" customFormat="false" ht="15" hidden="false" customHeight="false" outlineLevel="0" collapsed="false">
      <c r="B26" s="0" t="s">
        <v>24</v>
      </c>
      <c r="C26" s="49" t="n">
        <f aca="false">C6</f>
        <v>22</v>
      </c>
      <c r="D26" s="49" t="n">
        <f aca="false">D6</f>
        <v>44</v>
      </c>
      <c r="E26" s="49" t="n">
        <f aca="false">E6</f>
        <v>21</v>
      </c>
      <c r="F26" s="49" t="n">
        <f aca="false">F6</f>
        <v>85</v>
      </c>
    </row>
    <row r="27" customFormat="false" ht="15" hidden="false" customHeight="false" outlineLevel="0" collapsed="false">
      <c r="B27" s="0" t="s">
        <v>25</v>
      </c>
      <c r="C27" s="49" t="n">
        <f aca="false">C7</f>
        <v>20</v>
      </c>
      <c r="D27" s="49" t="n">
        <f aca="false">D7</f>
        <v>41</v>
      </c>
      <c r="E27" s="49" t="n">
        <f aca="false">E7</f>
        <v>20</v>
      </c>
      <c r="F27" s="49" t="n">
        <f aca="false">F7</f>
        <v>78</v>
      </c>
    </row>
    <row r="28" customFormat="false" ht="15" hidden="false" customHeight="false" outlineLevel="0" collapsed="false">
      <c r="B28" s="0" t="s">
        <v>26</v>
      </c>
      <c r="C28" s="49" t="n">
        <f aca="false">C8</f>
        <v>25</v>
      </c>
      <c r="D28" s="49" t="n">
        <f aca="false">D8</f>
        <v>48</v>
      </c>
      <c r="E28" s="49" t="n">
        <f aca="false">E8</f>
        <v>24</v>
      </c>
      <c r="F28" s="49" t="n">
        <f aca="false">F8</f>
        <v>92</v>
      </c>
    </row>
    <row r="29" customFormat="false" ht="15" hidden="false" customHeight="false" outlineLevel="0" collapsed="false">
      <c r="B29" s="0" t="s">
        <v>27</v>
      </c>
      <c r="C29" s="49" t="n">
        <f aca="false">C9</f>
        <v>23</v>
      </c>
      <c r="D29" s="49" t="n">
        <f aca="false">D9</f>
        <v>45</v>
      </c>
      <c r="E29" s="49" t="n">
        <f aca="false">E9</f>
        <v>22</v>
      </c>
      <c r="F29" s="49" t="n">
        <f aca="false">F9</f>
        <v>88</v>
      </c>
    </row>
    <row r="30" customFormat="false" ht="15" hidden="false" customHeight="false" outlineLevel="0" collapsed="false">
      <c r="B30" s="0" t="s">
        <v>28</v>
      </c>
      <c r="C30" s="49" t="n">
        <f aca="false">C10</f>
        <v>19</v>
      </c>
      <c r="D30" s="49" t="n">
        <f aca="false">D10</f>
        <v>38</v>
      </c>
      <c r="E30" s="49" t="n">
        <f aca="false">E10</f>
        <v>20</v>
      </c>
      <c r="F30" s="49" t="n">
        <f aca="false">F10</f>
        <v>72</v>
      </c>
    </row>
    <row r="31" customFormat="false" ht="15" hidden="false" customHeight="false" outlineLevel="0" collapsed="false">
      <c r="B31" s="0" t="s">
        <v>29</v>
      </c>
      <c r="C31" s="49" t="n">
        <f aca="false">C11</f>
        <v>24</v>
      </c>
      <c r="D31" s="49" t="n">
        <f aca="false">D11</f>
        <v>47</v>
      </c>
      <c r="E31" s="49" t="n">
        <f aca="false">E11</f>
        <v>23</v>
      </c>
      <c r="F31" s="49" t="n">
        <f aca="false">F11</f>
        <v>91</v>
      </c>
    </row>
  </sheetData>
  <mergeCells count="3">
    <mergeCell ref="B1:N1"/>
    <mergeCell ref="B2:N2"/>
    <mergeCell ref="B16:N16"/>
  </mergeCells>
  <conditionalFormatting sqref="H6:H11">
    <cfRule type="colorScale" priority="2">
      <colorScale>
        <cfvo type="num" val="0.4"/>
        <cfvo type="num" val="0.65"/>
        <cfvo type="num" val="0.95"/>
        <color rgb="FFF1948A"/>
        <color rgb="FFF9E79F"/>
        <color rgb="FF82E0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true"/>
  </sheetPr>
  <dimension ref="B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6" min="3" style="0" width="10"/>
  </cols>
  <sheetData>
    <row r="1" customFormat="false" ht="30" hidden="false" customHeight="true" outlineLevel="0" collapsed="false">
      <c r="B1" s="26" t="s">
        <v>47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customFormat="false" ht="15" hidden="false" customHeight="true" outlineLevel="0" collapsed="false">
      <c r="B2" s="27" t="s">
        <v>48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customFormat="false" ht="7.5" hidden="false" customHeight="true" outlineLevel="0" collapsed="false"/>
    <row r="4" customFormat="false" ht="21.75" hidden="false" customHeight="true" outlineLevel="0" collapsed="false">
      <c r="B4" s="18" t="s">
        <v>16</v>
      </c>
      <c r="C4" s="18" t="s">
        <v>49</v>
      </c>
      <c r="D4" s="18" t="s">
        <v>50</v>
      </c>
      <c r="E4" s="18" t="s">
        <v>51</v>
      </c>
      <c r="F4" s="18" t="s">
        <v>52</v>
      </c>
      <c r="G4" s="18" t="s">
        <v>53</v>
      </c>
      <c r="H4" s="18" t="s">
        <v>54</v>
      </c>
      <c r="I4" s="18" t="s">
        <v>55</v>
      </c>
      <c r="J4" s="18" t="s">
        <v>56</v>
      </c>
      <c r="K4" s="18" t="s">
        <v>57</v>
      </c>
      <c r="L4" s="18" t="s">
        <v>58</v>
      </c>
      <c r="M4" s="18" t="s">
        <v>59</v>
      </c>
      <c r="N4" s="18" t="s">
        <v>60</v>
      </c>
      <c r="O4" s="18" t="s">
        <v>61</v>
      </c>
      <c r="P4" s="18" t="s">
        <v>12</v>
      </c>
    </row>
    <row r="5" customFormat="false" ht="19.5" hidden="false" customHeight="true" outlineLevel="0" collapsed="false">
      <c r="B5" s="28" t="s">
        <v>62</v>
      </c>
      <c r="C5" s="31" t="n">
        <v>22</v>
      </c>
      <c r="D5" s="31" t="n">
        <v>20</v>
      </c>
      <c r="E5" s="31" t="n">
        <v>4</v>
      </c>
      <c r="F5" s="31" t="n">
        <v>22</v>
      </c>
      <c r="G5" s="31" t="n">
        <v>22</v>
      </c>
      <c r="H5" s="31" t="n">
        <v>22</v>
      </c>
      <c r="I5" s="31" t="n">
        <v>22</v>
      </c>
      <c r="J5" s="31" t="n">
        <v>22</v>
      </c>
      <c r="K5" s="31" t="n">
        <v>20</v>
      </c>
      <c r="L5" s="31" t="n">
        <v>22</v>
      </c>
      <c r="M5" s="31" t="n">
        <v>20</v>
      </c>
      <c r="N5" s="31" t="n">
        <v>18</v>
      </c>
    </row>
    <row r="6" customFormat="false" ht="19.5" hidden="false" customHeight="true" outlineLevel="0" collapsed="false">
      <c r="B6" s="30" t="s">
        <v>24</v>
      </c>
      <c r="C6" s="31" t="n">
        <v>20</v>
      </c>
      <c r="D6" s="31" t="n">
        <v>18</v>
      </c>
      <c r="E6" s="31" t="n">
        <v>3</v>
      </c>
      <c r="F6" s="31" t="n">
        <v>17</v>
      </c>
      <c r="G6" s="31" t="n">
        <v>18</v>
      </c>
      <c r="H6" s="31" t="n">
        <v>18</v>
      </c>
      <c r="I6" s="31" t="n">
        <v>20</v>
      </c>
      <c r="J6" s="31" t="n">
        <v>17</v>
      </c>
      <c r="K6" s="31" t="n">
        <v>16</v>
      </c>
      <c r="L6" s="31" t="n">
        <v>19</v>
      </c>
      <c r="M6" s="31" t="n">
        <v>19</v>
      </c>
      <c r="N6" s="31" t="n">
        <v>15</v>
      </c>
      <c r="O6" s="50" t="n">
        <f aca="false">SUM(C6:N6)</f>
        <v>200</v>
      </c>
      <c r="P6" s="21" t="n">
        <f aca="false">IFERROR(O6/SUM($C$5:$N$5),0)</f>
        <v>0.847457627118644</v>
      </c>
    </row>
    <row r="7" customFormat="false" ht="19.5" hidden="false" customHeight="true" outlineLevel="0" collapsed="false">
      <c r="B7" s="35" t="s">
        <v>25</v>
      </c>
      <c r="C7" s="36" t="n">
        <v>17</v>
      </c>
      <c r="D7" s="36" t="n">
        <v>14</v>
      </c>
      <c r="E7" s="36" t="n">
        <v>3</v>
      </c>
      <c r="F7" s="36" t="n">
        <v>15</v>
      </c>
      <c r="G7" s="36" t="n">
        <v>18</v>
      </c>
      <c r="H7" s="36" t="n">
        <v>17</v>
      </c>
      <c r="I7" s="36" t="n">
        <v>15</v>
      </c>
      <c r="J7" s="36" t="n">
        <v>18</v>
      </c>
      <c r="K7" s="36" t="n">
        <v>14</v>
      </c>
      <c r="L7" s="36" t="n">
        <v>18</v>
      </c>
      <c r="M7" s="36" t="n">
        <v>14</v>
      </c>
      <c r="N7" s="36" t="n">
        <v>13</v>
      </c>
      <c r="O7" s="51" t="n">
        <f aca="false">SUM(C7:N7)</f>
        <v>176</v>
      </c>
      <c r="P7" s="24" t="n">
        <f aca="false">IFERROR(O7/SUM($C$5:$N$5),0)</f>
        <v>0.745762711864407</v>
      </c>
    </row>
    <row r="8" customFormat="false" ht="19.5" hidden="false" customHeight="true" outlineLevel="0" collapsed="false">
      <c r="B8" s="30" t="s">
        <v>26</v>
      </c>
      <c r="C8" s="31" t="n">
        <v>16</v>
      </c>
      <c r="D8" s="31" t="n">
        <v>18</v>
      </c>
      <c r="E8" s="31" t="n">
        <v>3</v>
      </c>
      <c r="F8" s="31" t="n">
        <v>21</v>
      </c>
      <c r="G8" s="31" t="n">
        <v>17</v>
      </c>
      <c r="H8" s="31" t="n">
        <v>17</v>
      </c>
      <c r="I8" s="31" t="n">
        <v>20</v>
      </c>
      <c r="J8" s="31" t="n">
        <v>19</v>
      </c>
      <c r="K8" s="31" t="n">
        <v>15</v>
      </c>
      <c r="L8" s="31" t="n">
        <v>19</v>
      </c>
      <c r="M8" s="31" t="n">
        <v>16</v>
      </c>
      <c r="N8" s="31" t="n">
        <v>16</v>
      </c>
      <c r="O8" s="50" t="n">
        <f aca="false">SUM(C8:N8)</f>
        <v>197</v>
      </c>
      <c r="P8" s="21" t="n">
        <f aca="false">IFERROR(O8/SUM($C$5:$N$5),0)</f>
        <v>0.834745762711864</v>
      </c>
    </row>
    <row r="9" customFormat="false" ht="19.5" hidden="false" customHeight="true" outlineLevel="0" collapsed="false">
      <c r="B9" s="35" t="s">
        <v>27</v>
      </c>
      <c r="C9" s="36" t="n">
        <v>16</v>
      </c>
      <c r="D9" s="36" t="n">
        <v>18</v>
      </c>
      <c r="E9" s="36" t="n">
        <v>3</v>
      </c>
      <c r="F9" s="36" t="n">
        <v>18</v>
      </c>
      <c r="G9" s="36" t="n">
        <v>16</v>
      </c>
      <c r="H9" s="36" t="n">
        <v>20</v>
      </c>
      <c r="I9" s="36" t="n">
        <v>20</v>
      </c>
      <c r="J9" s="36" t="n">
        <v>18</v>
      </c>
      <c r="K9" s="36" t="n">
        <v>17</v>
      </c>
      <c r="L9" s="36" t="n">
        <v>16</v>
      </c>
      <c r="M9" s="36" t="n">
        <v>14</v>
      </c>
      <c r="N9" s="36" t="n">
        <v>14</v>
      </c>
      <c r="O9" s="51" t="n">
        <f aca="false">SUM(C9:N9)</f>
        <v>190</v>
      </c>
      <c r="P9" s="24" t="n">
        <f aca="false">IFERROR(O9/SUM($C$5:$N$5),0)</f>
        <v>0.805084745762712</v>
      </c>
    </row>
    <row r="10" customFormat="false" ht="19.5" hidden="false" customHeight="true" outlineLevel="0" collapsed="false">
      <c r="B10" s="30" t="s">
        <v>28</v>
      </c>
      <c r="C10" s="31" t="n">
        <v>16</v>
      </c>
      <c r="D10" s="31" t="n">
        <v>14</v>
      </c>
      <c r="E10" s="31" t="n">
        <v>3</v>
      </c>
      <c r="F10" s="31" t="n">
        <v>16</v>
      </c>
      <c r="G10" s="31" t="n">
        <v>16</v>
      </c>
      <c r="H10" s="31" t="n">
        <v>18</v>
      </c>
      <c r="I10" s="31" t="n">
        <v>18</v>
      </c>
      <c r="J10" s="31" t="n">
        <v>16</v>
      </c>
      <c r="K10" s="31" t="n">
        <v>16</v>
      </c>
      <c r="L10" s="31" t="n">
        <v>20</v>
      </c>
      <c r="M10" s="31" t="n">
        <v>14</v>
      </c>
      <c r="N10" s="31" t="n">
        <v>13</v>
      </c>
      <c r="O10" s="50" t="n">
        <f aca="false">SUM(C10:N10)</f>
        <v>180</v>
      </c>
      <c r="P10" s="21" t="n">
        <f aca="false">IFERROR(O10/SUM($C$5:$N$5),0)</f>
        <v>0.76271186440678</v>
      </c>
    </row>
    <row r="11" customFormat="false" ht="19.5" hidden="false" customHeight="true" outlineLevel="0" collapsed="false">
      <c r="B11" s="35" t="s">
        <v>29</v>
      </c>
      <c r="C11" s="36" t="n">
        <v>19</v>
      </c>
      <c r="D11" s="36" t="n">
        <v>18</v>
      </c>
      <c r="E11" s="36" t="n">
        <v>3</v>
      </c>
      <c r="F11" s="36" t="n">
        <v>21</v>
      </c>
      <c r="G11" s="36" t="n">
        <v>17</v>
      </c>
      <c r="H11" s="36" t="n">
        <v>21</v>
      </c>
      <c r="I11" s="36" t="n">
        <v>19</v>
      </c>
      <c r="J11" s="36" t="n">
        <v>20</v>
      </c>
      <c r="K11" s="36" t="n">
        <v>18</v>
      </c>
      <c r="L11" s="36" t="n">
        <v>21</v>
      </c>
      <c r="M11" s="36" t="n">
        <v>15</v>
      </c>
      <c r="N11" s="36" t="n">
        <v>14</v>
      </c>
      <c r="O11" s="51" t="n">
        <f aca="false">SUM(C11:N11)</f>
        <v>206</v>
      </c>
      <c r="P11" s="24" t="n">
        <f aca="false">IFERROR(O11/SUM($C$5:$N$5),0)</f>
        <v>0.872881355932203</v>
      </c>
    </row>
    <row r="13" customFormat="false" ht="7.5" hidden="false" customHeight="true" outlineLevel="0" collapsed="false"/>
    <row r="14" customFormat="false" ht="21.75" hidden="false" customHeight="true" outlineLevel="0" collapsed="false">
      <c r="B14" s="40" t="s">
        <v>63</v>
      </c>
      <c r="C14" s="41" t="n">
        <f aca="false">IFERROR(AVERAGE(C6:C11),0)</f>
        <v>17.3333333333333</v>
      </c>
      <c r="D14" s="41" t="n">
        <f aca="false">IFERROR(AVERAGE(D6:D11),0)</f>
        <v>16.6666666666667</v>
      </c>
      <c r="E14" s="41" t="n">
        <f aca="false">IFERROR(AVERAGE(E6:E11),0)</f>
        <v>3</v>
      </c>
      <c r="F14" s="41" t="n">
        <f aca="false">IFERROR(AVERAGE(F6:F11),0)</f>
        <v>18</v>
      </c>
      <c r="G14" s="41" t="n">
        <f aca="false">IFERROR(AVERAGE(G6:G11),0)</f>
        <v>17</v>
      </c>
      <c r="H14" s="41" t="n">
        <f aca="false">IFERROR(AVERAGE(H6:H11),0)</f>
        <v>18.5</v>
      </c>
      <c r="I14" s="41" t="n">
        <f aca="false">IFERROR(AVERAGE(I6:I11),0)</f>
        <v>18.6666666666667</v>
      </c>
      <c r="J14" s="41" t="n">
        <f aca="false">IFERROR(AVERAGE(J6:J11),0)</f>
        <v>18</v>
      </c>
      <c r="K14" s="41" t="n">
        <f aca="false">IFERROR(AVERAGE(K6:K11),0)</f>
        <v>16</v>
      </c>
      <c r="L14" s="41" t="n">
        <f aca="false">IFERROR(AVERAGE(L6:L11),0)</f>
        <v>18.8333333333333</v>
      </c>
      <c r="M14" s="41" t="n">
        <f aca="false">IFERROR(AVERAGE(M6:M11),0)</f>
        <v>15.3333333333333</v>
      </c>
      <c r="N14" s="41" t="n">
        <f aca="false">IFERROR(AVERAGE(N6:N11),0)</f>
        <v>14.1666666666667</v>
      </c>
      <c r="O14" s="52" t="n">
        <f aca="false">IFERROR(AVERAGE(O6:O11),0)</f>
        <v>191.5</v>
      </c>
      <c r="P14" s="43" t="n">
        <f aca="false">IFERROR(AVERAGE(P6:P11),0)</f>
        <v>0.811440677966102</v>
      </c>
    </row>
    <row r="16" customFormat="false" ht="9.75" hidden="false" customHeight="true" outlineLevel="0" collapsed="false"/>
    <row r="17" customFormat="false" ht="21.75" hidden="false" customHeight="true" outlineLevel="0" collapsed="false">
      <c r="B17" s="17" t="s">
        <v>64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customFormat="false" ht="19.5" hidden="false" customHeight="true" outlineLevel="0" collapsed="false">
      <c r="B18" s="53" t="s">
        <v>65</v>
      </c>
    </row>
    <row r="22" customFormat="false" ht="15" hidden="false" customHeight="false" outlineLevel="0" collapsed="false">
      <c r="B22" s="0" t="s">
        <v>16</v>
      </c>
      <c r="C22" s="0" t="s">
        <v>12</v>
      </c>
    </row>
    <row r="23" customFormat="false" ht="15" hidden="false" customHeight="false" outlineLevel="0" collapsed="false">
      <c r="B23" s="0" t="s">
        <v>24</v>
      </c>
      <c r="C23" s="54" t="n">
        <f aca="false">P6</f>
        <v>0.847457627118644</v>
      </c>
    </row>
    <row r="24" customFormat="false" ht="15" hidden="false" customHeight="false" outlineLevel="0" collapsed="false">
      <c r="B24" s="0" t="s">
        <v>25</v>
      </c>
      <c r="C24" s="54" t="n">
        <f aca="false">P7</f>
        <v>0.745762711864407</v>
      </c>
    </row>
    <row r="25" customFormat="false" ht="15" hidden="false" customHeight="false" outlineLevel="0" collapsed="false">
      <c r="B25" s="0" t="s">
        <v>26</v>
      </c>
      <c r="C25" s="54" t="n">
        <f aca="false">P8</f>
        <v>0.834745762711864</v>
      </c>
    </row>
    <row r="26" customFormat="false" ht="15" hidden="false" customHeight="false" outlineLevel="0" collapsed="false">
      <c r="B26" s="0" t="s">
        <v>27</v>
      </c>
      <c r="C26" s="54" t="n">
        <f aca="false">P9</f>
        <v>0.805084745762712</v>
      </c>
    </row>
    <row r="27" customFormat="false" ht="15" hidden="false" customHeight="false" outlineLevel="0" collapsed="false">
      <c r="B27" s="0" t="s">
        <v>28</v>
      </c>
      <c r="C27" s="54" t="n">
        <f aca="false">P10</f>
        <v>0.76271186440678</v>
      </c>
    </row>
    <row r="28" customFormat="false" ht="15" hidden="false" customHeight="false" outlineLevel="0" collapsed="false">
      <c r="B28" s="0" t="s">
        <v>29</v>
      </c>
      <c r="C28" s="54" t="n">
        <f aca="false">P11</f>
        <v>0.872881355932203</v>
      </c>
    </row>
  </sheetData>
  <mergeCells count="3">
    <mergeCell ref="B1:P1"/>
    <mergeCell ref="B2:P2"/>
    <mergeCell ref="B17:P17"/>
  </mergeCells>
  <conditionalFormatting sqref="P6:P11">
    <cfRule type="cellIs" priority="2" operator="lessThan" aboveAverage="0" equalAverage="0" bottom="0" percent="0" rank="0" text="" dxfId="0">
      <formula>0.75</formula>
    </cfRule>
    <cfRule type="cellIs" priority="3" operator="greaterThanOrEqual" aboveAverage="0" equalAverage="0" bottom="0" percent="0" rank="0" text="" dxfId="1">
      <formula>0.85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30" hidden="false" customHeight="true" outlineLevel="0" collapsed="false">
      <c r="A1" s="26" t="s">
        <v>66</v>
      </c>
      <c r="B1" s="26"/>
      <c r="C1" s="26"/>
      <c r="D1" s="26"/>
      <c r="E1" s="26"/>
      <c r="F1" s="26"/>
      <c r="G1" s="26"/>
      <c r="H1" s="26"/>
    </row>
    <row r="2" customFormat="false" ht="15" hidden="false" customHeight="true" outlineLevel="0" collapsed="false">
      <c r="A2" s="27" t="s">
        <v>67</v>
      </c>
      <c r="B2" s="27"/>
      <c r="C2" s="27"/>
      <c r="D2" s="27"/>
      <c r="E2" s="27"/>
      <c r="F2" s="27"/>
      <c r="G2" s="27"/>
      <c r="H2" s="27"/>
    </row>
    <row r="3" customFormat="false" ht="6" hidden="false" customHeight="true" outlineLevel="0" collapsed="false">
      <c r="F3" s="55" t="n">
        <f aca="false">COUNTIF(F5:F24,"Pending")</f>
        <v>5</v>
      </c>
    </row>
    <row r="4" customFormat="false" ht="21.75" hidden="false" customHeight="true" outlineLevel="0" collapsed="false">
      <c r="A4" s="18" t="s">
        <v>68</v>
      </c>
      <c r="B4" s="18" t="s">
        <v>69</v>
      </c>
      <c r="C4" s="18" t="s">
        <v>16</v>
      </c>
      <c r="D4" s="18" t="s">
        <v>70</v>
      </c>
      <c r="E4" s="18" t="s">
        <v>71</v>
      </c>
      <c r="F4" s="18" t="s">
        <v>23</v>
      </c>
      <c r="G4" s="18" t="s">
        <v>72</v>
      </c>
      <c r="H4" s="18" t="s">
        <v>73</v>
      </c>
    </row>
    <row r="5" customFormat="false" ht="19.5" hidden="false" customHeight="true" outlineLevel="0" collapsed="false">
      <c r="A5" s="56" t="n">
        <v>1</v>
      </c>
      <c r="B5" s="57" t="s">
        <v>74</v>
      </c>
      <c r="C5" s="58" t="s">
        <v>24</v>
      </c>
      <c r="D5" s="58" t="s">
        <v>75</v>
      </c>
      <c r="E5" s="58" t="s">
        <v>76</v>
      </c>
      <c r="F5" s="58" t="s">
        <v>77</v>
      </c>
      <c r="G5" s="58" t="s">
        <v>78</v>
      </c>
      <c r="H5" s="59" t="str">
        <f aca="true">IF(F5="Completed","✅ Done",IF(E5="","",IF(DATEVALUE(E5)&lt;TODAY(),"⚠️ Overdue!","📅 "&amp;(DATEVALUE(E5)-TODAY())&amp;" days left")))</f>
        <v>✅ Done</v>
      </c>
    </row>
    <row r="6" customFormat="false" ht="19.5" hidden="false" customHeight="true" outlineLevel="0" collapsed="false">
      <c r="A6" s="56" t="n">
        <v>2</v>
      </c>
      <c r="B6" s="60" t="s">
        <v>79</v>
      </c>
      <c r="C6" s="61" t="s">
        <v>26</v>
      </c>
      <c r="D6" s="61" t="s">
        <v>80</v>
      </c>
      <c r="E6" s="61" t="s">
        <v>81</v>
      </c>
      <c r="F6" s="61" t="s">
        <v>77</v>
      </c>
      <c r="G6" s="61" t="s">
        <v>78</v>
      </c>
      <c r="H6" s="62" t="str">
        <f aca="true">IF(F6="Completed","✅ Done",IF(E6="","",IF(DATEVALUE(E6)&lt;TODAY(),"⚠️ Overdue!","📅 "&amp;(DATEVALUE(E6)-TODAY())&amp;" days left")))</f>
        <v>✅ Done</v>
      </c>
    </row>
    <row r="7" customFormat="false" ht="19.5" hidden="false" customHeight="true" outlineLevel="0" collapsed="false">
      <c r="A7" s="56" t="n">
        <v>3</v>
      </c>
      <c r="B7" s="57" t="s">
        <v>82</v>
      </c>
      <c r="C7" s="58" t="s">
        <v>27</v>
      </c>
      <c r="D7" s="58" t="s">
        <v>83</v>
      </c>
      <c r="E7" s="58" t="s">
        <v>84</v>
      </c>
      <c r="F7" s="58" t="s">
        <v>85</v>
      </c>
      <c r="G7" s="58" t="s">
        <v>78</v>
      </c>
      <c r="H7" s="59" t="str">
        <f aca="true">IF(F7="Completed","✅ Done",IF(E7="","",IF(DATEVALUE(E7)&lt;TODAY(),"⚠️ Overdue!","📅 "&amp;(DATEVALUE(E7)-TODAY())&amp;" days left")))</f>
        <v>⚠️ Overdue!</v>
      </c>
    </row>
    <row r="8" customFormat="false" ht="19.5" hidden="false" customHeight="true" outlineLevel="0" collapsed="false">
      <c r="A8" s="56" t="n">
        <v>4</v>
      </c>
      <c r="B8" s="60" t="s">
        <v>86</v>
      </c>
      <c r="C8" s="61" t="s">
        <v>28</v>
      </c>
      <c r="D8" s="61" t="s">
        <v>87</v>
      </c>
      <c r="E8" s="61" t="s">
        <v>88</v>
      </c>
      <c r="F8" s="61" t="s">
        <v>89</v>
      </c>
      <c r="G8" s="61" t="s">
        <v>90</v>
      </c>
      <c r="H8" s="62" t="str">
        <f aca="true">IF(F8="Completed","✅ Done",IF(E8="","",IF(DATEVALUE(E8)&lt;TODAY(),"⚠️ Overdue!","📅 "&amp;(DATEVALUE(E8)-TODAY())&amp;" days left")))</f>
        <v>⚠️ Overdue!</v>
      </c>
    </row>
    <row r="9" customFormat="false" ht="19.5" hidden="false" customHeight="true" outlineLevel="0" collapsed="false">
      <c r="A9" s="56" t="n">
        <v>5</v>
      </c>
      <c r="B9" s="57" t="s">
        <v>91</v>
      </c>
      <c r="C9" s="58" t="s">
        <v>29</v>
      </c>
      <c r="D9" s="58" t="s">
        <v>81</v>
      </c>
      <c r="E9" s="58" t="s">
        <v>92</v>
      </c>
      <c r="F9" s="58" t="s">
        <v>89</v>
      </c>
      <c r="G9" s="58" t="s">
        <v>78</v>
      </c>
      <c r="H9" s="59" t="str">
        <f aca="true">IF(F9="Completed","✅ Done",IF(E9="","",IF(DATEVALUE(E9)&lt;TODAY(),"⚠️ Overdue!","📅 "&amp;(DATEVALUE(E9)-TODAY())&amp;" days left")))</f>
        <v>⚠️ Overdue!</v>
      </c>
    </row>
    <row r="10" customFormat="false" ht="19.5" hidden="false" customHeight="true" outlineLevel="0" collapsed="false">
      <c r="A10" s="56" t="n">
        <v>6</v>
      </c>
      <c r="B10" s="60" t="s">
        <v>93</v>
      </c>
      <c r="C10" s="61" t="s">
        <v>25</v>
      </c>
      <c r="D10" s="61" t="s">
        <v>76</v>
      </c>
      <c r="E10" s="61" t="s">
        <v>94</v>
      </c>
      <c r="F10" s="61" t="s">
        <v>77</v>
      </c>
      <c r="G10" s="61" t="s">
        <v>90</v>
      </c>
      <c r="H10" s="62" t="str">
        <f aca="true">IF(F10="Completed","✅ Done",IF(E10="","",IF(DATEVALUE(E10)&lt;TODAY(),"⚠️ Overdue!","📅 "&amp;(DATEVALUE(E10)-TODAY())&amp;" days left")))</f>
        <v>✅ Done</v>
      </c>
    </row>
    <row r="11" customFormat="false" ht="19.5" hidden="false" customHeight="true" outlineLevel="0" collapsed="false">
      <c r="A11" s="56" t="n">
        <v>7</v>
      </c>
      <c r="B11" s="57" t="s">
        <v>95</v>
      </c>
      <c r="C11" s="58" t="s">
        <v>26</v>
      </c>
      <c r="D11" s="58" t="s">
        <v>88</v>
      </c>
      <c r="E11" s="58" t="s">
        <v>96</v>
      </c>
      <c r="F11" s="58" t="s">
        <v>89</v>
      </c>
      <c r="G11" s="58" t="s">
        <v>78</v>
      </c>
      <c r="H11" s="59" t="str">
        <f aca="true">IF(F11="Completed","✅ Done",IF(E11="","",IF(DATEVALUE(E11)&lt;TODAY(),"⚠️ Overdue!","📅 "&amp;(DATEVALUE(E11)-TODAY())&amp;" days left")))</f>
        <v>⚠️ Overdue!</v>
      </c>
    </row>
    <row r="12" customFormat="false" ht="19.5" hidden="false" customHeight="true" outlineLevel="0" collapsed="false">
      <c r="A12" s="56" t="n">
        <v>8</v>
      </c>
      <c r="B12" s="60" t="s">
        <v>97</v>
      </c>
      <c r="C12" s="61" t="s">
        <v>27</v>
      </c>
      <c r="D12" s="61" t="s">
        <v>84</v>
      </c>
      <c r="E12" s="61" t="s">
        <v>98</v>
      </c>
      <c r="F12" s="61" t="s">
        <v>85</v>
      </c>
      <c r="G12" s="61" t="s">
        <v>90</v>
      </c>
      <c r="H12" s="62" t="str">
        <f aca="true">IF(F12="Completed","✅ Done",IF(E12="","",IF(DATEVALUE(E12)&lt;TODAY(),"⚠️ Overdue!","📅 "&amp;(DATEVALUE(E12)-TODAY())&amp;" days left")))</f>
        <v>⚠️ Overdue!</v>
      </c>
    </row>
    <row r="13" customFormat="false" ht="19.5" hidden="false" customHeight="true" outlineLevel="0" collapsed="false">
      <c r="A13" s="56" t="n">
        <v>9</v>
      </c>
      <c r="B13" s="57" t="s">
        <v>99</v>
      </c>
      <c r="C13" s="58" t="s">
        <v>24</v>
      </c>
      <c r="D13" s="58" t="s">
        <v>94</v>
      </c>
      <c r="E13" s="58" t="s">
        <v>100</v>
      </c>
      <c r="F13" s="58" t="s">
        <v>89</v>
      </c>
      <c r="G13" s="58" t="s">
        <v>101</v>
      </c>
      <c r="H13" s="59" t="str">
        <f aca="true">IF(F13="Completed","✅ Done",IF(E13="","",IF(DATEVALUE(E13)&lt;TODAY(),"⚠️ Overdue!","📅 "&amp;(DATEVALUE(E13)-TODAY())&amp;" days left")))</f>
        <v>⚠️ Overdue!</v>
      </c>
    </row>
    <row r="14" customFormat="false" ht="19.5" hidden="false" customHeight="true" outlineLevel="0" collapsed="false">
      <c r="A14" s="56" t="n">
        <v>10</v>
      </c>
      <c r="B14" s="60" t="s">
        <v>102</v>
      </c>
      <c r="C14" s="61" t="s">
        <v>28</v>
      </c>
      <c r="D14" s="61" t="s">
        <v>96</v>
      </c>
      <c r="E14" s="61" t="s">
        <v>103</v>
      </c>
      <c r="F14" s="61" t="s">
        <v>89</v>
      </c>
      <c r="G14" s="61" t="s">
        <v>90</v>
      </c>
      <c r="H14" s="62" t="str">
        <f aca="true">IF(F14="Completed","✅ Done",IF(E14="","",IF(DATEVALUE(E14)&lt;TODAY(),"⚠️ Overdue!","📅 "&amp;(DATEVALUE(E14)-TODAY())&amp;" days left")))</f>
        <v>⚠️ Overdue!</v>
      </c>
    </row>
    <row r="16" customFormat="false" ht="9.75" hidden="false" customHeight="true" outlineLevel="0" collapsed="false"/>
    <row r="17" customFormat="false" ht="21.75" hidden="false" customHeight="true" outlineLevel="0" collapsed="false">
      <c r="A17" s="17" t="s">
        <v>104</v>
      </c>
      <c r="B17" s="17"/>
      <c r="C17" s="17"/>
      <c r="D17" s="17"/>
      <c r="E17" s="17"/>
      <c r="F17" s="17"/>
      <c r="G17" s="17"/>
      <c r="H17" s="17"/>
    </row>
    <row r="18" customFormat="false" ht="21.75" hidden="false" customHeight="true" outlineLevel="0" collapsed="false">
      <c r="A18" s="18" t="s">
        <v>105</v>
      </c>
      <c r="B18" s="18" t="s">
        <v>77</v>
      </c>
      <c r="C18" s="18" t="s">
        <v>85</v>
      </c>
      <c r="D18" s="18" t="s">
        <v>89</v>
      </c>
      <c r="E18" s="18" t="s">
        <v>106</v>
      </c>
    </row>
    <row r="19" customFormat="false" ht="25.5" hidden="false" customHeight="true" outlineLevel="0" collapsed="false">
      <c r="A19" s="63" t="n">
        <f aca="false">COUNTA(B5:B14)</f>
        <v>10</v>
      </c>
      <c r="B19" s="63" t="n">
        <f aca="false">COUNTIF(F5:F14,"Completed")</f>
        <v>3</v>
      </c>
      <c r="C19" s="63" t="n">
        <f aca="false">COUNTIF(F5:F14,"In Progress")</f>
        <v>2</v>
      </c>
      <c r="D19" s="63" t="n">
        <f aca="false">COUNTIF(F5:F14,"Pending")</f>
        <v>5</v>
      </c>
      <c r="E19" s="64" t="n">
        <f aca="false">IFERROR(COUNTIF(F5:F14,"Completed")/COUNTA(B5:B14),0)</f>
        <v>0.3</v>
      </c>
    </row>
  </sheetData>
  <mergeCells count="3">
    <mergeCell ref="A1:H1"/>
    <mergeCell ref="A2:H2"/>
    <mergeCell ref="A17:H17"/>
  </mergeCells>
  <conditionalFormatting sqref="F5:F24">
    <cfRule type="cellIs" priority="2" operator="equal" aboveAverage="0" equalAverage="0" bottom="0" percent="0" rank="0" text="" dxfId="1">
      <formula>"Completed"</formula>
    </cfRule>
    <cfRule type="cellIs" priority="3" operator="equal" aboveAverage="0" equalAverage="0" bottom="0" percent="0" rank="0" text="" dxfId="0">
      <formula>"Pending"</formula>
    </cfRule>
    <cfRule type="cellIs" priority="4" operator="equal" aboveAverage="0" equalAverage="0" bottom="0" percent="0" rank="0" text="" dxfId="2">
      <formula>"In Progress"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true"/>
  </sheetPr>
  <dimension ref="B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6" min="3" style="0" width="14"/>
    <col collapsed="false" customWidth="true" hidden="false" outlineLevel="0" max="7" min="7" style="0" width="16"/>
  </cols>
  <sheetData>
    <row r="1" customFormat="false" ht="30" hidden="false" customHeight="true" outlineLevel="0" collapsed="false">
      <c r="B1" s="26" t="s">
        <v>107</v>
      </c>
      <c r="C1" s="26"/>
      <c r="D1" s="26"/>
      <c r="E1" s="26"/>
      <c r="F1" s="26"/>
      <c r="G1" s="26"/>
    </row>
    <row r="2" customFormat="false" ht="15" hidden="false" customHeight="true" outlineLevel="0" collapsed="false">
      <c r="B2" s="27" t="s">
        <v>108</v>
      </c>
      <c r="C2" s="27"/>
      <c r="D2" s="27"/>
      <c r="E2" s="27"/>
      <c r="F2" s="27"/>
      <c r="G2" s="27"/>
    </row>
    <row r="3" customFormat="false" ht="9.75" hidden="false" customHeight="true" outlineLevel="0" collapsed="false"/>
    <row r="4" customFormat="false" ht="21.75" hidden="false" customHeight="true" outlineLevel="0" collapsed="false">
      <c r="B4" s="17" t="s">
        <v>109</v>
      </c>
      <c r="C4" s="17"/>
      <c r="D4" s="17"/>
      <c r="E4" s="17"/>
      <c r="F4" s="17"/>
      <c r="G4" s="17"/>
    </row>
    <row r="5" customFormat="false" ht="19.5" hidden="false" customHeight="true" outlineLevel="0" collapsed="false">
      <c r="B5" s="18" t="s">
        <v>110</v>
      </c>
      <c r="C5" s="18" t="s">
        <v>22</v>
      </c>
      <c r="D5" s="18" t="s">
        <v>111</v>
      </c>
      <c r="E5" s="18" t="s">
        <v>112</v>
      </c>
    </row>
    <row r="6" customFormat="false" ht="18" hidden="false" customHeight="true" outlineLevel="0" collapsed="false">
      <c r="B6" s="65" t="s">
        <v>113</v>
      </c>
      <c r="C6" s="65" t="s">
        <v>114</v>
      </c>
      <c r="D6" s="65" t="s">
        <v>115</v>
      </c>
      <c r="E6" s="65" t="s">
        <v>116</v>
      </c>
    </row>
    <row r="7" customFormat="false" ht="18" hidden="false" customHeight="true" outlineLevel="0" collapsed="false">
      <c r="B7" s="65" t="s">
        <v>117</v>
      </c>
      <c r="C7" s="65" t="s">
        <v>118</v>
      </c>
      <c r="D7" s="65" t="s">
        <v>119</v>
      </c>
      <c r="E7" s="65" t="s">
        <v>120</v>
      </c>
    </row>
    <row r="8" customFormat="false" ht="18" hidden="false" customHeight="true" outlineLevel="0" collapsed="false">
      <c r="B8" s="22" t="s">
        <v>121</v>
      </c>
      <c r="C8" s="22" t="s">
        <v>122</v>
      </c>
      <c r="D8" s="22" t="s">
        <v>123</v>
      </c>
      <c r="E8" s="22" t="s">
        <v>124</v>
      </c>
    </row>
    <row r="9" customFormat="false" ht="18" hidden="false" customHeight="true" outlineLevel="0" collapsed="false">
      <c r="B9" s="25" t="s">
        <v>125</v>
      </c>
      <c r="C9" s="25" t="s">
        <v>126</v>
      </c>
      <c r="D9" s="25" t="s">
        <v>127</v>
      </c>
      <c r="E9" s="25" t="s">
        <v>128</v>
      </c>
    </row>
    <row r="10" customFormat="false" ht="18" hidden="false" customHeight="true" outlineLevel="0" collapsed="false">
      <c r="B10" s="22" t="s">
        <v>129</v>
      </c>
      <c r="C10" s="22" t="s">
        <v>130</v>
      </c>
      <c r="D10" s="22" t="s">
        <v>131</v>
      </c>
      <c r="E10" s="22" t="s">
        <v>132</v>
      </c>
    </row>
    <row r="11" customFormat="false" ht="18" hidden="false" customHeight="true" outlineLevel="0" collapsed="false">
      <c r="B11" s="25" t="s">
        <v>133</v>
      </c>
      <c r="C11" s="25" t="s">
        <v>134</v>
      </c>
      <c r="D11" s="25" t="s">
        <v>135</v>
      </c>
      <c r="E11" s="25" t="s">
        <v>136</v>
      </c>
    </row>
    <row r="12" customFormat="false" ht="18" hidden="false" customHeight="true" outlineLevel="0" collapsed="false">
      <c r="B12" s="22" t="s">
        <v>137</v>
      </c>
      <c r="C12" s="22" t="s">
        <v>138</v>
      </c>
      <c r="D12" s="22" t="s">
        <v>139</v>
      </c>
      <c r="E12" s="22" t="s">
        <v>140</v>
      </c>
    </row>
    <row r="13" customFormat="false" ht="18" hidden="false" customHeight="true" outlineLevel="0" collapsed="false">
      <c r="B13" s="66" t="s">
        <v>141</v>
      </c>
      <c r="C13" s="66" t="s">
        <v>142</v>
      </c>
      <c r="D13" s="66" t="s">
        <v>143</v>
      </c>
      <c r="E13" s="66" t="s">
        <v>144</v>
      </c>
    </row>
    <row r="15" customFormat="false" ht="9.75" hidden="false" customHeight="true" outlineLevel="0" collapsed="false"/>
    <row r="16" customFormat="false" ht="21.75" hidden="false" customHeight="true" outlineLevel="0" collapsed="false">
      <c r="B16" s="17" t="s">
        <v>145</v>
      </c>
      <c r="C16" s="17"/>
      <c r="D16" s="17"/>
      <c r="E16" s="17"/>
      <c r="F16" s="17"/>
      <c r="G16" s="17"/>
    </row>
    <row r="17" customFormat="false" ht="19.5" hidden="false" customHeight="true" outlineLevel="0" collapsed="false">
      <c r="B17" s="18" t="s">
        <v>16</v>
      </c>
      <c r="C17" s="18" t="s">
        <v>146</v>
      </c>
      <c r="D17" s="18" t="s">
        <v>22</v>
      </c>
      <c r="E17" s="18" t="s">
        <v>111</v>
      </c>
      <c r="F17" s="18" t="s">
        <v>147</v>
      </c>
      <c r="G17" s="18" t="s">
        <v>148</v>
      </c>
    </row>
    <row r="18" customFormat="false" ht="19.5" hidden="false" customHeight="true" outlineLevel="0" collapsed="false">
      <c r="B18" s="30" t="s">
        <v>24</v>
      </c>
      <c r="C18" s="20" t="n">
        <f aca="false">IFERROR('Marks Tracker'!G6,0)</f>
        <v>85.8</v>
      </c>
      <c r="D18" s="22" t="str">
        <f aca="false">IF(C18&gt;=91,"A1",IF(C18&gt;=81,"A2",IF(C18&gt;=71,"B1",IF(C18&gt;=61,"B2",IF(C18&gt;=51,"C1",IF(C18&gt;=41,"C2",IF(C18&gt;=33,"D","E")))))))</f>
        <v>A2</v>
      </c>
      <c r="E18" s="50" t="n">
        <f aca="false">IF(C18&gt;=91,10,IF(C18&gt;=81,9,IF(C18&gt;=71,8,IF(C18&gt;=61,7,IF(C18&gt;=51,6,IF(C18&gt;=41,5,IF(C18&gt;=33,4,0)))))))</f>
        <v>9</v>
      </c>
      <c r="F18" s="31" t="n">
        <v>5</v>
      </c>
      <c r="G18" s="20" t="n">
        <f aca="false">E18*F18</f>
        <v>45</v>
      </c>
    </row>
    <row r="19" customFormat="false" ht="19.5" hidden="false" customHeight="true" outlineLevel="0" collapsed="false">
      <c r="B19" s="35" t="s">
        <v>25</v>
      </c>
      <c r="C19" s="23" t="n">
        <f aca="false">IFERROR('Marks Tracker'!G7,0)</f>
        <v>79.2</v>
      </c>
      <c r="D19" s="25" t="str">
        <f aca="false">IF(C19&gt;=91,"A1",IF(C19&gt;=81,"A2",IF(C19&gt;=71,"B1",IF(C19&gt;=61,"B2",IF(C19&gt;=51,"C1",IF(C19&gt;=41,"C2",IF(C19&gt;=33,"D","E")))))))</f>
        <v>B1</v>
      </c>
      <c r="E19" s="51" t="n">
        <f aca="false">IF(C19&gt;=91,10,IF(C19&gt;=81,9,IF(C19&gt;=71,8,IF(C19&gt;=61,7,IF(C19&gt;=51,6,IF(C19&gt;=41,5,IF(C19&gt;=33,4,0)))))))</f>
        <v>8</v>
      </c>
      <c r="F19" s="36" t="n">
        <v>5</v>
      </c>
      <c r="G19" s="23" t="n">
        <f aca="false">E19*F19</f>
        <v>40</v>
      </c>
    </row>
    <row r="20" customFormat="false" ht="19.5" hidden="false" customHeight="true" outlineLevel="0" collapsed="false">
      <c r="B20" s="30" t="s">
        <v>26</v>
      </c>
      <c r="C20" s="20" t="n">
        <f aca="false">IFERROR('Marks Tracker'!G8,0)</f>
        <v>94</v>
      </c>
      <c r="D20" s="22" t="str">
        <f aca="false">IF(C20&gt;=91,"A1",IF(C20&gt;=81,"A2",IF(C20&gt;=71,"B1",IF(C20&gt;=61,"B2",IF(C20&gt;=51,"C1",IF(C20&gt;=41,"C2",IF(C20&gt;=33,"D","E")))))))</f>
        <v>A1</v>
      </c>
      <c r="E20" s="50" t="n">
        <f aca="false">IF(C20&gt;=91,10,IF(C20&gt;=81,9,IF(C20&gt;=71,8,IF(C20&gt;=61,7,IF(C20&gt;=51,6,IF(C20&gt;=41,5,IF(C20&gt;=33,4,0)))))))</f>
        <v>10</v>
      </c>
      <c r="F20" s="31" t="n">
        <v>5</v>
      </c>
      <c r="G20" s="20" t="n">
        <f aca="false">E20*F20</f>
        <v>50</v>
      </c>
    </row>
    <row r="21" customFormat="false" ht="19.5" hidden="false" customHeight="true" outlineLevel="0" collapsed="false">
      <c r="B21" s="35" t="s">
        <v>27</v>
      </c>
      <c r="C21" s="23" t="n">
        <f aca="false">IFERROR('Marks Tracker'!G9,0)</f>
        <v>88.8</v>
      </c>
      <c r="D21" s="25" t="str">
        <f aca="false">IF(C21&gt;=91,"A1",IF(C21&gt;=81,"A2",IF(C21&gt;=71,"B1",IF(C21&gt;=61,"B2",IF(C21&gt;=51,"C1",IF(C21&gt;=41,"C2",IF(C21&gt;=33,"D","E")))))))</f>
        <v>A2</v>
      </c>
      <c r="E21" s="51" t="n">
        <f aca="false">IF(C21&gt;=91,10,IF(C21&gt;=81,9,IF(C21&gt;=71,8,IF(C21&gt;=61,7,IF(C21&gt;=51,6,IF(C21&gt;=41,5,IF(C21&gt;=33,4,0)))))))</f>
        <v>9</v>
      </c>
      <c r="F21" s="36" t="n">
        <v>5</v>
      </c>
      <c r="G21" s="23" t="n">
        <f aca="false">E21*F21</f>
        <v>45</v>
      </c>
    </row>
    <row r="22" customFormat="false" ht="19.5" hidden="false" customHeight="true" outlineLevel="0" collapsed="false">
      <c r="B22" s="30" t="s">
        <v>28</v>
      </c>
      <c r="C22" s="20" t="n">
        <f aca="false">IFERROR('Marks Tracker'!G10,0)</f>
        <v>74</v>
      </c>
      <c r="D22" s="22" t="str">
        <f aca="false">IF(C22&gt;=91,"A1",IF(C22&gt;=81,"A2",IF(C22&gt;=71,"B1",IF(C22&gt;=61,"B2",IF(C22&gt;=51,"C1",IF(C22&gt;=41,"C2",IF(C22&gt;=33,"D","E")))))))</f>
        <v>B1</v>
      </c>
      <c r="E22" s="50" t="n">
        <f aca="false">IF(C22&gt;=91,10,IF(C22&gt;=81,9,IF(C22&gt;=71,8,IF(C22&gt;=61,7,IF(C22&gt;=51,6,IF(C22&gt;=41,5,IF(C22&gt;=33,4,0)))))))</f>
        <v>8</v>
      </c>
      <c r="F22" s="31" t="n">
        <v>5</v>
      </c>
      <c r="G22" s="20" t="n">
        <f aca="false">E22*F22</f>
        <v>40</v>
      </c>
    </row>
    <row r="23" customFormat="false" ht="19.5" hidden="false" customHeight="true" outlineLevel="0" collapsed="false">
      <c r="B23" s="35" t="s">
        <v>29</v>
      </c>
      <c r="C23" s="23" t="n">
        <f aca="false">IFERROR('Marks Tracker'!G11,0)</f>
        <v>92.2</v>
      </c>
      <c r="D23" s="25" t="str">
        <f aca="false">IF(C23&gt;=91,"A1",IF(C23&gt;=81,"A2",IF(C23&gt;=71,"B1",IF(C23&gt;=61,"B2",IF(C23&gt;=51,"C1",IF(C23&gt;=41,"C2",IF(C23&gt;=33,"D","E")))))))</f>
        <v>A1</v>
      </c>
      <c r="E23" s="51" t="n">
        <f aca="false">IF(C23&gt;=91,10,IF(C23&gt;=81,9,IF(C23&gt;=71,8,IF(C23&gt;=61,7,IF(C23&gt;=51,6,IF(C23&gt;=41,5,IF(C23&gt;=33,4,0)))))))</f>
        <v>10</v>
      </c>
      <c r="F23" s="36" t="n">
        <v>5</v>
      </c>
      <c r="G23" s="23" t="n">
        <f aca="false">E23*F23</f>
        <v>50</v>
      </c>
    </row>
    <row r="25" customFormat="false" ht="7.5" hidden="false" customHeight="true" outlineLevel="0" collapsed="false"/>
    <row r="26" customFormat="false" ht="30" hidden="false" customHeight="true" outlineLevel="0" collapsed="false">
      <c r="B26" s="67" t="s">
        <v>149</v>
      </c>
      <c r="C26" s="67"/>
      <c r="D26" s="67"/>
      <c r="E26" s="68" t="n">
        <f aca="false">IFERROR(SUM(G18:G23)/SUM(F18:F23),0)</f>
        <v>9</v>
      </c>
      <c r="F26" s="69" t="str">
        <f aca="false">IF(E26&gt;=9,"🌟 Outstanding",IF(E26&gt;=8,"🎉 Excellent",IF(E26&gt;=7,"👍 Very Good",IF(E26&gt;=6,"✅ Good","⚠️ Work Harder"))))</f>
        <v>🌟 Outstanding</v>
      </c>
    </row>
    <row r="32" customFormat="false" ht="15" hidden="false" customHeight="false" outlineLevel="0" collapsed="false">
      <c r="B32" s="0" t="s">
        <v>16</v>
      </c>
      <c r="C32" s="0" t="s">
        <v>111</v>
      </c>
    </row>
    <row r="33" customFormat="false" ht="15" hidden="false" customHeight="false" outlineLevel="0" collapsed="false">
      <c r="B33" s="0" t="s">
        <v>24</v>
      </c>
      <c r="C33" s="49" t="n">
        <f aca="false">E18</f>
        <v>9</v>
      </c>
    </row>
    <row r="34" customFormat="false" ht="15" hidden="false" customHeight="false" outlineLevel="0" collapsed="false">
      <c r="B34" s="0" t="s">
        <v>25</v>
      </c>
      <c r="C34" s="49" t="n">
        <f aca="false">E19</f>
        <v>8</v>
      </c>
    </row>
    <row r="35" customFormat="false" ht="15" hidden="false" customHeight="false" outlineLevel="0" collapsed="false">
      <c r="B35" s="0" t="s">
        <v>26</v>
      </c>
      <c r="C35" s="49" t="n">
        <f aca="false">E20</f>
        <v>10</v>
      </c>
    </row>
    <row r="36" customFormat="false" ht="15" hidden="false" customHeight="false" outlineLevel="0" collapsed="false">
      <c r="B36" s="0" t="s">
        <v>27</v>
      </c>
      <c r="C36" s="49" t="n">
        <f aca="false">E21</f>
        <v>9</v>
      </c>
    </row>
    <row r="37" customFormat="false" ht="15" hidden="false" customHeight="false" outlineLevel="0" collapsed="false">
      <c r="B37" s="0" t="s">
        <v>28</v>
      </c>
      <c r="C37" s="49" t="n">
        <f aca="false">E22</f>
        <v>8</v>
      </c>
    </row>
    <row r="38" customFormat="false" ht="15" hidden="false" customHeight="false" outlineLevel="0" collapsed="false">
      <c r="B38" s="0" t="s">
        <v>29</v>
      </c>
      <c r="C38" s="49" t="n">
        <f aca="false">E23</f>
        <v>10</v>
      </c>
    </row>
  </sheetData>
  <mergeCells count="5">
    <mergeCell ref="B1:G1"/>
    <mergeCell ref="B2:G2"/>
    <mergeCell ref="B4:G4"/>
    <mergeCell ref="B16:G16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2026-03-28T07:40:56Z</dcterms:created>
  <dc:creator>openpyxl</dc:creator>
  <dc:description/>
  <dc:language>en-US</dc:language>
  <cp:lastModifiedBy/>
  <dcterms:modified xsi:type="dcterms:W3CDTF">2026-03-28T07:41:03Z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